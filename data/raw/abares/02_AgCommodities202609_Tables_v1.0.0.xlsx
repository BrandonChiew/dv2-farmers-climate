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tagriculture.sharepoint.com/teams/AG-AgriculturalForecastingandTrade/Shared Documents/Reports/Agricultural Commodities Report/Data Product/2026/September/"/>
    </mc:Choice>
  </mc:AlternateContent>
  <xr:revisionPtr revIDLastSave="65" documentId="13_ncr:1_{7DFE04EE-31C3-4831-BEB3-9ED1E7F22941}" xr6:coauthVersionLast="47" xr6:coauthVersionMax="47" xr10:uidLastSave="{0C8D9FEB-9C99-4AFE-99D2-39897AA45DB4}"/>
  <bookViews>
    <workbookView xWindow="390" yWindow="390" windowWidth="28800" windowHeight="15345" xr2:uid="{02CC01AA-33E6-43A6-98A5-8414DBE87745}"/>
  </bookViews>
  <sheets>
    <sheet name="Index" sheetId="1" r:id="rId1"/>
    <sheet name="Key Macro" sheetId="7" r:id="rId2"/>
    <sheet name="Major indicators" sheetId="9" r:id="rId3"/>
    <sheet name="Beef &amp; Cattle" sheetId="2" r:id="rId4"/>
    <sheet name="Coarse Grains" sheetId="3" r:id="rId5"/>
    <sheet name="Cotton" sheetId="4" r:id="rId6"/>
    <sheet name="Dairy" sheetId="5" r:id="rId7"/>
    <sheet name="Fisheries" sheetId="6" r:id="rId8"/>
    <sheet name="Lamb, sheep and wool" sheetId="8" r:id="rId9"/>
    <sheet name="Oilseeds" sheetId="10" r:id="rId10"/>
    <sheet name="Pigs, poultry and eggs" sheetId="11" r:id="rId11"/>
    <sheet name="Sugar" sheetId="12" r:id="rId12"/>
    <sheet name="Wheat" sheetId="13" r:id="rId13"/>
    <sheet name="Wine" sheetId="14" r:id="rId14"/>
  </sheets>
  <definedNames>
    <definedName name="_xlnm.Print_Area" localSheetId="3">'Beef &amp; Cattle'!$A$1:$G$28</definedName>
    <definedName name="_xlnm.Print_Area" localSheetId="4">'Coarse Grains'!$A$1:$G$42</definedName>
    <definedName name="_xlnm.Print_Area" localSheetId="5">Cotton!$A$1:$G$25</definedName>
    <definedName name="_xlnm.Print_Area" localSheetId="6">Dairy!$A$1:$G$28</definedName>
    <definedName name="_xlnm.Print_Area" localSheetId="7">Fisheries!$A$1:$G$35</definedName>
    <definedName name="_xlnm.Print_Area" localSheetId="0">Index!$A$1:$P$26</definedName>
    <definedName name="_xlnm.Print_Area" localSheetId="1">'Key Macro'!$A$1:$F$35</definedName>
    <definedName name="_xlnm.Print_Area" localSheetId="8">'Lamb, sheep and wool'!$A$1:$G$44</definedName>
    <definedName name="_xlnm.Print_Area" localSheetId="2">'Major indicators'!$A$1:$H$34</definedName>
    <definedName name="_xlnm.Print_Area" localSheetId="9">Oilseeds!$A$1:$G$30</definedName>
    <definedName name="_xlnm.Print_Area" localSheetId="10">'Pigs, poultry and eggs'!$A$1:$G$37</definedName>
    <definedName name="_xlnm.Print_Area" localSheetId="11">Sugar!$A$1:$G$25</definedName>
    <definedName name="_xlnm.Print_Area" localSheetId="12">Wheat!$A$1:$G$28</definedName>
    <definedName name="_xlnm.Print_Area" localSheetId="13">Wine!$A$1:$G$31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<sst xmlns="http://schemas.openxmlformats.org/spreadsheetml/2006/main" count="685" uniqueCount="289">
  <si>
    <t>Outlook for beef and cattle</t>
  </si>
  <si>
    <t>Category</t>
  </si>
  <si>
    <t>unit</t>
  </si>
  <si>
    <t>2024–25</t>
  </si>
  <si>
    <t>2025–26 s</t>
  </si>
  <si>
    <t>2026–27 f</t>
  </si>
  <si>
    <t>% change</t>
  </si>
  <si>
    <t>Australia</t>
  </si>
  <si>
    <t>million</t>
  </si>
  <si>
    <t xml:space="preserve"> ’000</t>
  </si>
  <si>
    <t>Beef and veal production</t>
  </si>
  <si>
    <t>kt (cw)</t>
  </si>
  <si>
    <t>kg</t>
  </si>
  <si>
    <t xml:space="preserve">Exports </t>
  </si>
  <si>
    <t>quantity</t>
  </si>
  <si>
    <t>kt (sw)</t>
  </si>
  <si>
    <t>value</t>
  </si>
  <si>
    <t>A$m</t>
  </si>
  <si>
    <t>number</t>
  </si>
  <si>
    <t>Prices</t>
  </si>
  <si>
    <t>Ac/kg (cw)</t>
  </si>
  <si>
    <t>USc/kg</t>
  </si>
  <si>
    <t>Gross value of production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</si>
  <si>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 At 30 June.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 Includes dairy cattle and calves.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 Apparent consumption (production + imports - exports in carcase weight, including processed/preserved beef.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 Includes all bovine. </t>
    </r>
    <r>
      <rPr>
        <b/>
        <sz val="8"/>
        <color rgb="FF000000"/>
        <rFont val="Calibri"/>
        <family val="2"/>
      </rPr>
      <t>e </t>
    </r>
    <r>
      <rPr>
        <sz val="8"/>
        <color rgb="FF000000"/>
        <rFont val="Calibri"/>
        <family val="2"/>
      </rPr>
      <t xml:space="preserve">An average of MLA’s Heavy Steer and Processor Cow indicators.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 ABARES forecast. </t>
    </r>
    <r>
      <rPr>
        <b/>
        <sz val="8"/>
        <color rgb="FF000000"/>
        <rFont val="Calibri"/>
        <family val="2"/>
      </rPr>
      <t>g </t>
    </r>
    <r>
      <rPr>
        <sz val="8"/>
        <color rgb="FF000000"/>
        <rFont val="Calibri"/>
        <family val="2"/>
      </rPr>
      <t>Cow 90CL into US cif price.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 xml:space="preserve">h </t>
    </r>
    <r>
      <rPr>
        <sz val="8"/>
        <rFont val="Calibri"/>
        <family val="2"/>
      </rPr>
      <t xml:space="preserve">Excludes skin and hide values. </t>
    </r>
    <r>
      <rPr>
        <b/>
        <sz val="8"/>
        <rFont val="Calibri"/>
        <family val="2"/>
      </rPr>
      <t>i</t>
    </r>
    <r>
      <rPr>
        <sz val="8"/>
        <rFont val="Calibri"/>
        <family val="2"/>
      </rPr>
      <t xml:space="preserve"> Includes all bovine for feeder/slaughter, breeding and </t>
    </r>
    <r>
      <rPr>
        <sz val="8"/>
        <color rgb="FF000000"/>
        <rFont val="Calibri"/>
        <family val="2"/>
      </rPr>
      <t>dairy purposes.
Sources: ABARES; ABS; MLA</t>
    </r>
  </si>
  <si>
    <t>Outlook for coarse grains</t>
  </si>
  <si>
    <t>Marketing year</t>
  </si>
  <si>
    <t>2024–25 s</t>
  </si>
  <si>
    <t>World a</t>
  </si>
  <si>
    <t>Coarse grain production</t>
  </si>
  <si>
    <t>Mt</t>
  </si>
  <si>
    <t>barley</t>
  </si>
  <si>
    <t>corn</t>
  </si>
  <si>
    <t>Consumption</t>
  </si>
  <si>
    <t>Trade</t>
  </si>
  <si>
    <t>Closing stocks</t>
  </si>
  <si>
    <t>Stocks-to-use ratio</t>
  </si>
  <si>
    <t>%</t>
  </si>
  <si>
    <t>–</t>
  </si>
  <si>
    <t>US$/t</t>
  </si>
  <si>
    <t>Sorghum d</t>
  </si>
  <si>
    <t>Area</t>
  </si>
  <si>
    <t>’000 ha</t>
  </si>
  <si>
    <t>Production</t>
  </si>
  <si>
    <t>kt</t>
  </si>
  <si>
    <t>Value of production</t>
  </si>
  <si>
    <t>Domestic use</t>
  </si>
  <si>
    <t xml:space="preserve">Exports  </t>
  </si>
  <si>
    <t>Barley g</t>
  </si>
  <si>
    <t>A$/t</t>
  </si>
  <si>
    <r>
      <rPr>
        <b/>
        <sz val="8"/>
        <color rgb="FF000000"/>
        <rFont val="Calibri"/>
        <family val="2"/>
      </rPr>
      <t>a </t>
    </r>
    <r>
      <rPr>
        <sz val="8"/>
        <color rgb="FF000000"/>
        <rFont val="Calibri"/>
        <family val="2"/>
      </rPr>
      <t xml:space="preserve">Reported as an aggregation of local marketing years.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 US no. 2 yellow corn, fob Gulf, July–June.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 France feed barley, fob Rouen, July–June.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 Marketing year, 1 March to 28 February. </t>
    </r>
    <r>
      <rPr>
        <b/>
        <sz val="8"/>
        <color rgb="FF000000"/>
        <rFont val="Calibri"/>
        <family val="2"/>
      </rPr>
      <t>e</t>
    </r>
    <r>
      <rPr>
        <sz val="8"/>
        <color rgb="FF000000"/>
        <rFont val="Calibri"/>
        <family val="2"/>
      </rPr>
      <t xml:space="preserve"> At 28 February.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 ABARES forecast. </t>
    </r>
    <r>
      <rPr>
        <b/>
        <sz val="8"/>
        <color rgb="FF000000"/>
        <rFont val="Calibri"/>
        <family val="2"/>
      </rPr>
      <t>g</t>
    </r>
    <r>
      <rPr>
        <sz val="8"/>
        <color rgb="FF000000"/>
        <rFont val="Calibri"/>
        <family val="2"/>
      </rPr>
      <t xml:space="preserve"> Marketing year, 1 November to 31 October. </t>
    </r>
    <r>
      <rPr>
        <b/>
        <sz val="8"/>
        <color rgb="FF000000"/>
        <rFont val="Calibri"/>
        <family val="2"/>
      </rPr>
      <t>h</t>
    </r>
    <r>
      <rPr>
        <sz val="8"/>
        <color rgb="FF000000"/>
        <rFont val="Calibri"/>
        <family val="2"/>
      </rPr>
      <t xml:space="preserve"> At 31 October. </t>
    </r>
    <r>
      <rPr>
        <b/>
        <sz val="8"/>
        <color rgb="FF000000"/>
        <rFont val="Calibri"/>
        <family val="2"/>
      </rPr>
      <t>i</t>
    </r>
    <r>
      <rPr>
        <sz val="8"/>
        <color rgb="FF000000"/>
        <rFont val="Calibri"/>
        <family val="2"/>
      </rPr>
      <t xml:space="preserve"> Feed 1, delivered Geelong, July–June. </t>
    </r>
    <r>
      <rPr>
        <b/>
        <sz val="8"/>
        <color rgb="FF000000"/>
        <rFont val="Calibri"/>
        <family val="2"/>
      </rPr>
      <t>j</t>
    </r>
    <r>
      <rPr>
        <sz val="8"/>
        <color rgb="FF000000"/>
        <rFont val="Calibri"/>
        <family val="2"/>
      </rPr>
      <t> Malt 1, delivered Geelong, July–June.</t>
    </r>
    <r>
      <rPr>
        <b/>
        <sz val="8"/>
        <color rgb="FF000000"/>
        <rFont val="Calibri"/>
        <family val="2"/>
      </rPr>
      <t xml:space="preserve"> k</t>
    </r>
    <r>
      <rPr>
        <sz val="8"/>
        <color rgb="FF000000"/>
        <rFont val="Calibri"/>
        <family val="2"/>
      </rPr>
      <t xml:space="preserve"> Feed sorghum delivered Brisbane, July–June.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Sources: ABARES; ABS; IGC; Jumbuk AG; USDA </t>
    </r>
  </si>
  <si>
    <t>Outlook for cotton</t>
  </si>
  <si>
    <t>Cotton</t>
  </si>
  <si>
    <t xml:space="preserve">Production </t>
  </si>
  <si>
    <t xml:space="preserve">Consumption </t>
  </si>
  <si>
    <t>Exports</t>
  </si>
  <si>
    <t xml:space="preserve">Closing stocks </t>
  </si>
  <si>
    <t xml:space="preserve">Cotlook ‘A’ index </t>
  </si>
  <si>
    <t>USc/lb</t>
  </si>
  <si>
    <t xml:space="preserve"> ’000 ha</t>
  </si>
  <si>
    <t>Lint production</t>
  </si>
  <si>
    <t>volume</t>
  </si>
  <si>
    <t>A$/bale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</si>
  <si>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 August–July years.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 Raw cotton excluding cotton waste and linters.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 Value of lint.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 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> ABARES estimate.
Sources: ABARES; ABS; Cotlook Ltd; Cotton Australia; USDA</t>
    </r>
  </si>
  <si>
    <t xml:space="preserve">Outlook for dairy </t>
  </si>
  <si>
    <t>Milk yield</t>
  </si>
  <si>
    <t>L/cow</t>
  </si>
  <si>
    <t>Total milk</t>
  </si>
  <si>
    <t>ML</t>
  </si>
  <si>
    <t>market sales</t>
  </si>
  <si>
    <t>manufacturing</t>
  </si>
  <si>
    <t xml:space="preserve">Butter </t>
  </si>
  <si>
    <t>Whole milk powder</t>
  </si>
  <si>
    <t>Skim milk powder</t>
  </si>
  <si>
    <t>Farmgate milk price</t>
  </si>
  <si>
    <t>Ac/L</t>
  </si>
  <si>
    <t>World prices e</t>
  </si>
  <si>
    <t>Butter</t>
  </si>
  <si>
    <t>Cheese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</si>
  <si>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> At 30 Ju</t>
    </r>
    <r>
      <rPr>
        <sz val="8"/>
        <rFont val="Calibri"/>
        <family val="2"/>
      </rPr>
      <t xml:space="preserve">ne. </t>
    </r>
    <r>
      <rPr>
        <b/>
        <sz val="8"/>
        <rFont val="Calibri"/>
        <family val="2"/>
      </rPr>
      <t>b</t>
    </r>
    <r>
      <rPr>
        <sz val="8"/>
        <rFont val="Calibri"/>
        <family val="2"/>
      </rPr>
      <t> Cows in milk and dry. c</t>
    </r>
    <r>
      <rPr>
        <sz val="8"/>
        <color rgb="FF000000"/>
        <rFont val="Calibri"/>
        <family val="2"/>
      </rPr>
      <t xml:space="preserve"> Excludes processed cheese. d Includes the value of cheese, butter, whole milk powder, skim milk powder, and other dairy products.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> ABARES forecast.</t>
    </r>
    <r>
      <rPr>
        <b/>
        <sz val="8"/>
        <color rgb="FF000000"/>
        <rFont val="Calibri"/>
        <family val="2"/>
      </rPr>
      <t xml:space="preserve"> e</t>
    </r>
    <r>
      <rPr>
        <sz val="8"/>
        <color rgb="FF000000"/>
        <rFont val="Calibri"/>
        <family val="2"/>
      </rPr>
      <t xml:space="preserve"> Weighted average of traded prices (excluding subsidised sales).
Sources: ABARES; ABS; Dairy Australia</t>
    </r>
  </si>
  <si>
    <t>Outlook for fisheries products</t>
  </si>
  <si>
    <t xml:space="preserve">Tuna  </t>
  </si>
  <si>
    <t>$m</t>
  </si>
  <si>
    <t>Prawns</t>
  </si>
  <si>
    <t xml:space="preserve">Rock lobster </t>
  </si>
  <si>
    <t>Other crustaceans</t>
  </si>
  <si>
    <t>Abalone</t>
  </si>
  <si>
    <t>Scallops</t>
  </si>
  <si>
    <t>Oysters</t>
  </si>
  <si>
    <t xml:space="preserve">Pearls </t>
  </si>
  <si>
    <t xml:space="preserve">Other molluscs </t>
  </si>
  <si>
    <t>Total fisheries products</t>
  </si>
  <si>
    <t>Other fish</t>
  </si>
  <si>
    <t>Rock lobster</t>
  </si>
  <si>
    <t>Abalones</t>
  </si>
  <si>
    <t>Other molluscs and aquatic invertebrates</t>
  </si>
  <si>
    <t>Other marine products excl pearls</t>
  </si>
  <si>
    <r>
      <rPr>
        <b/>
        <sz val="8"/>
        <color rgb="FF000000"/>
        <rFont val="Calibri"/>
        <family val="2"/>
      </rPr>
      <t>a </t>
    </r>
    <r>
      <rPr>
        <sz val="8"/>
        <color rgb="FF000000"/>
        <rFont val="Calibri"/>
        <family val="2"/>
      </rPr>
      <t xml:space="preserve">Predominantly salmon. Includes trout and salmon-like products. </t>
    </r>
    <r>
      <rPr>
        <b/>
        <sz val="8"/>
        <color rgb="FF000000"/>
        <rFont val="Calibri"/>
        <family val="2"/>
      </rPr>
      <t>f </t>
    </r>
    <r>
      <rPr>
        <sz val="8"/>
        <color rgb="FF000000"/>
        <rFont val="Calibri"/>
        <family val="2"/>
      </rPr>
      <t xml:space="preserve">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 
Sources: ABARES; ABS</t>
    </r>
  </si>
  <si>
    <t>Key macroeconomic assumptions</t>
  </si>
  <si>
    <t>2025</t>
  </si>
  <si>
    <t>2026 a</t>
  </si>
  <si>
    <t>2027 a</t>
  </si>
  <si>
    <t>Economic growth</t>
  </si>
  <si>
    <t>Advanced economies</t>
  </si>
  <si>
    <t>United States</t>
  </si>
  <si>
    <t>Japan</t>
  </si>
  <si>
    <t>Eurozone</t>
  </si>
  <si>
    <t>Emerging and developing economies</t>
  </si>
  <si>
    <t>Emerging Asia</t>
  </si>
  <si>
    <t>Middle East and Central Asia</t>
  </si>
  <si>
    <t>GDP per person e</t>
  </si>
  <si>
    <t xml:space="preserve"> </t>
  </si>
  <si>
    <t xml:space="preserve">Inflation </t>
  </si>
  <si>
    <t>Population</t>
  </si>
  <si>
    <t>World</t>
  </si>
  <si>
    <t>2025–26 a</t>
  </si>
  <si>
    <t>2026–27 a</t>
  </si>
  <si>
    <t>Exchange rate</t>
  </si>
  <si>
    <t>US$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</si>
  <si>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ABARES assumption.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 Using IMF and Australian Government forecasts.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 Indonesia, Malaysia, the Philippines, Thailand and Singapore.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 Excludes Hong Kong and Macao. </t>
    </r>
    <r>
      <rPr>
        <b/>
        <sz val="8"/>
        <color rgb="FF000000"/>
        <rFont val="Calibri"/>
        <family val="2"/>
      </rPr>
      <t>e</t>
    </r>
    <r>
      <rPr>
        <sz val="8"/>
        <color rgb="FF000000"/>
        <rFont val="Calibri"/>
        <family val="2"/>
      </rPr>
      <t xml:space="preserve"> Expressed in purchasing–power–parity and derived using UN population projections. </t>
    </r>
    <r>
      <rPr>
        <b/>
        <sz val="8"/>
        <color rgb="FF000000"/>
        <rFont val="Calibri"/>
        <family val="2"/>
      </rPr>
      <t>g</t>
    </r>
    <r>
      <rPr>
        <sz val="8"/>
        <color rgb="FF000000"/>
        <rFont val="Calibri"/>
        <family val="2"/>
      </rPr>
      <t xml:space="preserve"> Variable rate to large business published by the RBA.
Sources: ABARES; ABS; Australian  Government; IMF; United Nations population division; RBA.</t>
    </r>
  </si>
  <si>
    <t>Outlook for lamb, sheep and wool</t>
  </si>
  <si>
    <t xml:space="preserve">Slaughterings </t>
  </si>
  <si>
    <t>Lambs</t>
  </si>
  <si>
    <t>Mutton</t>
  </si>
  <si>
    <t>Sheep meat</t>
  </si>
  <si>
    <t xml:space="preserve">  quantity</t>
  </si>
  <si>
    <t xml:space="preserve">  value</t>
  </si>
  <si>
    <t xml:space="preserve">Live sheep </t>
  </si>
  <si>
    <t xml:space="preserve">Prices </t>
  </si>
  <si>
    <t>National Trade Lamb Indicator</t>
  </si>
  <si>
    <t>c/kg (cw)</t>
  </si>
  <si>
    <t>National Mutton Indicator</t>
  </si>
  <si>
    <t>Wool</t>
  </si>
  <si>
    <t>Sheep shorn</t>
  </si>
  <si>
    <t>Wool production</t>
  </si>
  <si>
    <t xml:space="preserve">   shorn </t>
  </si>
  <si>
    <t>Greasy</t>
  </si>
  <si>
    <t xml:space="preserve">  quantity </t>
  </si>
  <si>
    <t>Total wool</t>
  </si>
  <si>
    <t>kt (gr. eq.)</t>
  </si>
  <si>
    <t>Ac/kg</t>
  </si>
  <si>
    <t xml:space="preserve">Sheep slaughterings </t>
  </si>
  <si>
    <r>
      <t xml:space="preserve">a </t>
    </r>
    <r>
      <rPr>
        <sz val="8"/>
        <color rgb="FF000000"/>
        <rFont val="Calibri"/>
        <family val="2"/>
      </rPr>
      <t>At 30 June.</t>
    </r>
    <r>
      <rPr>
        <b/>
        <sz val="8"/>
        <color rgb="FF000000"/>
        <rFont val="Calibri"/>
        <family val="2"/>
      </rPr>
      <t xml:space="preserve"> b </t>
    </r>
    <r>
      <rPr>
        <sz val="8"/>
        <color rgb="FF000000"/>
        <rFont val="Calibri"/>
        <family val="2"/>
      </rPr>
      <t>Includes lamb and mutton.</t>
    </r>
    <r>
      <rPr>
        <b/>
        <sz val="8"/>
        <color rgb="FF000000"/>
        <rFont val="Calibri"/>
        <family val="2"/>
      </rPr>
      <t xml:space="preserve">  c </t>
    </r>
    <r>
      <rPr>
        <sz val="8"/>
        <color rgb="FF000000"/>
        <rFont val="Calibri"/>
        <family val="2"/>
      </rPr>
      <t xml:space="preserve">Apparent consumption (production + imports - exports in carcase weight) divided by the Australian population. </t>
    </r>
    <r>
      <rPr>
        <b/>
        <sz val="8"/>
        <color rgb="FF000000"/>
        <rFont val="Calibri"/>
        <family val="2"/>
      </rPr>
      <t xml:space="preserve">d </t>
    </r>
    <r>
      <rPr>
        <sz val="8"/>
        <color rgb="FF000000"/>
        <rFont val="Calibri"/>
        <family val="2"/>
      </rPr>
      <t>Includes breeding stock</t>
    </r>
    <r>
      <rPr>
        <b/>
        <sz val="8"/>
        <color rgb="FF000000"/>
        <rFont val="Calibri"/>
        <family val="2"/>
      </rPr>
      <t xml:space="preserve">. f </t>
    </r>
    <r>
      <rPr>
        <sz val="8"/>
        <color rgb="FF000000"/>
        <rFont val="Calibri"/>
        <family val="2"/>
      </rPr>
      <t>ABARES forecast.</t>
    </r>
    <r>
      <rPr>
        <b/>
        <sz val="8"/>
        <color rgb="FF000000"/>
        <rFont val="Calibri"/>
        <family val="2"/>
      </rPr>
      <t xml:space="preserve"> g </t>
    </r>
    <r>
      <rPr>
        <sz val="8"/>
        <color rgb="FF000000"/>
        <rFont val="Calibri"/>
        <family val="2"/>
      </rPr>
      <t>Includes shorn, fellmongered and wool on skins .</t>
    </r>
    <r>
      <rPr>
        <b/>
        <sz val="8"/>
        <color rgb="FF000000"/>
        <rFont val="Calibri"/>
        <family val="2"/>
      </rPr>
      <t xml:space="preserve"> h </t>
    </r>
    <r>
      <rPr>
        <sz val="8"/>
        <color rgb="FF000000"/>
        <rFont val="Calibri"/>
        <family val="2"/>
      </rPr>
      <t>Includes sheepskins, greasy and semi-processed wool.</t>
    </r>
    <r>
      <rPr>
        <b/>
        <sz val="8"/>
        <color rgb="FF000000"/>
        <rFont val="Calibri"/>
        <family val="2"/>
      </rPr>
      <t xml:space="preserve"> i </t>
    </r>
    <r>
      <rPr>
        <sz val="8"/>
        <color rgb="FF000000"/>
        <rFont val="Calibri"/>
        <family val="2"/>
      </rPr>
      <t>Clean equivalent.</t>
    </r>
    <r>
      <rPr>
        <b/>
        <sz val="8"/>
        <color rgb="FF000000"/>
        <rFont val="Calibri"/>
        <family val="2"/>
      </rPr>
      <t xml:space="preserve"> s </t>
    </r>
    <r>
      <rPr>
        <sz val="8"/>
        <color rgb="FF000000"/>
        <rFont val="Calibri"/>
        <family val="2"/>
      </rPr>
      <t>ABARES estimate.</t>
    </r>
    <r>
      <rPr>
        <b/>
        <sz val="8"/>
        <color rgb="FF000000"/>
        <rFont val="Calibri"/>
        <family val="2"/>
      </rPr>
      <t xml:space="preserve">
</t>
    </r>
    <r>
      <rPr>
        <sz val="8"/>
        <color rgb="FF000000"/>
        <rFont val="Calibri"/>
        <family val="2"/>
      </rPr>
      <t>Sources: ABARES; ABS; AWPFC; AWEX; MLA</t>
    </r>
  </si>
  <si>
    <t>Major indicators of Australia's agriculture, fisheries and forestry sectors</t>
  </si>
  <si>
    <t>2023–24 s</t>
  </si>
  <si>
    <t>Agriculture</t>
  </si>
  <si>
    <t xml:space="preserve">crops </t>
  </si>
  <si>
    <t>Forestry</t>
  </si>
  <si>
    <t>Total agriculture, fisheries and forestry exports</t>
  </si>
  <si>
    <t>Farm</t>
  </si>
  <si>
    <t>Total farm, fisheries and forestry products</t>
  </si>
  <si>
    <t>index</t>
  </si>
  <si>
    <t>Production area and livestock numbers</t>
  </si>
  <si>
    <t>Crop area (grains, oilseeds and pulses)</t>
  </si>
  <si>
    <t>Costs and returns</t>
  </si>
  <si>
    <t>Farm costs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</si>
  <si>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> Fisheries export forecasts are updated annually in the March quarter edition of the Agricultural Commodities Report.</t>
    </r>
    <r>
      <rPr>
        <b/>
        <sz val="8"/>
        <color rgb="FF000000"/>
        <rFont val="Calibri"/>
        <family val="2"/>
      </rPr>
      <t xml:space="preserve"> b</t>
    </r>
    <r>
      <rPr>
        <sz val="8"/>
        <color rgb="FF000000"/>
        <rFont val="Calibri"/>
        <family val="2"/>
      </rPr>
      <t xml:space="preserve"> For a definition of the gross value of farm production see Statistical Table 9.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 Fisheries production estimates and forecasts are updated annually in the March quarter edition of the Agricultural Commodities Report.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 Estimated gross value of logs delivered to mill door (or wharf gate). </t>
    </r>
    <r>
      <rPr>
        <b/>
        <sz val="8"/>
        <color rgb="FF000000"/>
        <rFont val="Calibri"/>
        <family val="2"/>
      </rPr>
      <t>e </t>
    </r>
    <r>
      <rPr>
        <sz val="8"/>
        <color rgb="FF000000"/>
        <rFont val="Calibri"/>
        <family val="2"/>
      </rPr>
      <t xml:space="preserve">Chain-weighted basis using Fisher’s ideal index with a reference year of 2025–26 = 100.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 ABARES forecast. </t>
    </r>
    <r>
      <rPr>
        <b/>
        <sz val="8"/>
        <color rgb="FF000000"/>
        <rFont val="Calibri"/>
        <family val="2"/>
      </rPr>
      <t>g</t>
    </r>
    <r>
      <rPr>
        <sz val="8"/>
        <color rgb="FF000000"/>
        <rFont val="Calibri"/>
        <family val="2"/>
      </rPr>
      <t xml:space="preserve"> At 30 June. </t>
    </r>
    <r>
      <rPr>
        <b/>
        <sz val="8"/>
        <color rgb="FF000000"/>
        <rFont val="Calibri"/>
        <family val="2"/>
      </rPr>
      <t>h </t>
    </r>
    <r>
      <rPr>
        <sz val="8"/>
        <color rgb="FF000000"/>
        <rFont val="Calibri"/>
        <family val="2"/>
      </rPr>
      <t xml:space="preserve">Gross value of farm production less total farm costs </t>
    </r>
    <r>
      <rPr>
        <b/>
        <sz val="8"/>
        <color rgb="FF000000"/>
        <rFont val="Calibri"/>
        <family val="2"/>
      </rPr>
      <t>i</t>
    </r>
    <r>
      <rPr>
        <sz val="8"/>
        <color rgb="FF000000"/>
        <rFont val="Calibri"/>
        <family val="2"/>
      </rPr>
      <t xml:space="preserve"> Ratio of index of prices received by farmers and index of prices paid by farmers, base: 2025–26 = 100. </t>
    </r>
    <r>
      <rPr>
        <b/>
        <sz val="8"/>
        <color rgb="FF000000"/>
        <rFont val="Calibri"/>
        <family val="2"/>
      </rPr>
      <t>s </t>
    </r>
    <r>
      <rPr>
        <sz val="8"/>
        <color rgb="FF000000"/>
        <rFont val="Calibri"/>
        <family val="2"/>
      </rPr>
      <t>ABARES estimate.
Sources: ABARES; ABS</t>
    </r>
  </si>
  <si>
    <t>Outlook for oilseeds</t>
  </si>
  <si>
    <t>oilseed meal</t>
  </si>
  <si>
    <t>vegetable oil</t>
  </si>
  <si>
    <t>Australia d</t>
  </si>
  <si>
    <t>Canola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</si>
  <si>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Aggregation of local marketing years.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 US no. 2 soybeans, fob Gulf, July–June.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 Canola, Canada, fob Vancouver, July–June.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 Marketing year, 1 November to 31 October </t>
    </r>
    <r>
      <rPr>
        <b/>
        <sz val="8"/>
        <color rgb="FF000000"/>
        <rFont val="Calibri"/>
        <family val="2"/>
      </rPr>
      <t>e</t>
    </r>
    <r>
      <rPr>
        <sz val="8"/>
        <color rgb="FF000000"/>
        <rFont val="Calibri"/>
        <family val="2"/>
      </rPr>
      <t xml:space="preserve"> Delivered Melbourne, July–June.</t>
    </r>
    <r>
      <rPr>
        <b/>
        <sz val="8"/>
        <color rgb="FF000000"/>
        <rFont val="Calibri"/>
        <family val="2"/>
      </rPr>
      <t xml:space="preserve"> f</t>
    </r>
    <r>
      <rPr>
        <sz val="8"/>
        <color rgb="FF000000"/>
        <rFont val="Calibri"/>
        <family val="2"/>
      </rPr>
      <t xml:space="preserve"> 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 xml:space="preserve"> ABARES estimate.
Sources: ABARES; ABS; IGC; Jumbuk AG; USDA</t>
    </r>
  </si>
  <si>
    <t>Outlook for pigs, poultry and eggs</t>
  </si>
  <si>
    <t>Pigs</t>
  </si>
  <si>
    <t>Chicken</t>
  </si>
  <si>
    <t>Pig meat</t>
  </si>
  <si>
    <t>Chicken meat</t>
  </si>
  <si>
    <t>Consumption per person ab</t>
  </si>
  <si>
    <t>Imports</t>
  </si>
  <si>
    <t>Over-the-hooks price</t>
  </si>
  <si>
    <t>Pig slaughtering</t>
  </si>
  <si>
    <t>Eggs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</si>
  <si>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Apparent consumption (production plus imports, less exports -carcase weight) divided by the Australian population.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 Includes processed/ preserved pig and chicken meat.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 Includes chicken, duck, turkey and other poultry.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> ABARES forecast.</t>
    </r>
    <r>
      <rPr>
        <b/>
        <sz val="8"/>
        <color rgb="FF000000"/>
        <rFont val="Calibri"/>
        <family val="2"/>
      </rPr>
      <t xml:space="preserve"> s</t>
    </r>
    <r>
      <rPr>
        <sz val="8"/>
        <color rgb="FF000000"/>
        <rFont val="Calibri"/>
        <family val="2"/>
      </rPr>
      <t> ABARES estimate.
Sources: ABARES; ABS; Australian Pork Limited</t>
    </r>
  </si>
  <si>
    <t xml:space="preserve">Outlook for sugar </t>
  </si>
  <si>
    <t>Category a</t>
  </si>
  <si>
    <t>Brazil</t>
  </si>
  <si>
    <t>Sugar cane gross unit value</t>
  </si>
  <si>
    <r>
      <rPr>
        <b/>
        <sz val="8"/>
        <rFont val="Calibri"/>
        <family val="2"/>
      </rPr>
      <t>a</t>
    </r>
    <r>
      <rPr>
        <sz val="8"/>
        <rFont val="Calibri"/>
        <family val="2"/>
      </rPr>
      <t xml:space="preserve"> All volumes are raw equivalent except for Australian exports, which are a sum of raw and refined sugar exports. </t>
    </r>
    <r>
      <rPr>
        <b/>
        <sz val="8"/>
        <rFont val="Calibri"/>
        <family val="2"/>
      </rPr>
      <t>b</t>
    </r>
    <r>
      <rPr>
        <sz val="8"/>
        <rFont val="Calibri"/>
        <family val="2"/>
      </rPr>
      <t xml:space="preserve"> October–September years. </t>
    </r>
    <r>
      <rPr>
        <b/>
        <sz val="8"/>
        <rFont val="Calibri"/>
        <family val="2"/>
      </rPr>
      <t>c</t>
    </r>
    <r>
      <rPr>
        <sz val="8"/>
        <rFont val="Calibri"/>
        <family val="2"/>
      </rPr>
      <t xml:space="preserve"> Nearby futures price (October–September basis), Intercontinental Exchange, New York no. 11 contract. </t>
    </r>
    <r>
      <rPr>
        <b/>
        <sz val="8"/>
        <rFont val="Calibri"/>
        <family val="2"/>
      </rPr>
      <t xml:space="preserve">d </t>
    </r>
    <r>
      <rPr>
        <sz val="8"/>
        <rFont val="Calibri"/>
        <family val="2"/>
      </rPr>
      <t xml:space="preserve">July–June years. </t>
    </r>
    <r>
      <rPr>
        <b/>
        <sz val="8"/>
        <rFont val="Calibri"/>
        <family val="2"/>
      </rPr>
      <t>e</t>
    </r>
    <r>
      <rPr>
        <sz val="8"/>
        <rFont val="Calibri"/>
        <family val="2"/>
      </rPr>
      <t xml:space="preserve"> Cut for crushing. </t>
    </r>
    <r>
      <rPr>
        <b/>
        <sz val="8"/>
        <rFont val="Calibri"/>
        <family val="2"/>
      </rPr>
      <t>f</t>
    </r>
    <r>
      <rPr>
        <sz val="8"/>
        <rFont val="Calibri"/>
        <family val="2"/>
      </rPr>
      <t xml:space="preserve"> ABARES forecast. </t>
    </r>
    <r>
      <rPr>
        <b/>
        <sz val="8"/>
        <rFont val="Calibri"/>
        <family val="2"/>
      </rPr>
      <t>g</t>
    </r>
    <r>
      <rPr>
        <sz val="8"/>
        <rFont val="Calibri"/>
        <family val="2"/>
      </rPr>
      <t xml:space="preserve"> Raw sugar equivalent at 98.6% sucrose content.  </t>
    </r>
    <r>
      <rPr>
        <b/>
        <sz val="8"/>
        <rFont val="Calibri"/>
        <family val="2"/>
      </rPr>
      <t>s</t>
    </r>
    <r>
      <rPr>
        <sz val="8"/>
        <rFont val="Calibri"/>
        <family val="2"/>
      </rPr>
      <t xml:space="preserve"> ABARES estimate.
Sources: ABARES; ABS; ASMC; CANEGROWERS; Czarnikow; Intercontinental Exchange; International Sugar Organization; USDA</t>
    </r>
  </si>
  <si>
    <t>Outlook for wheat</t>
  </si>
  <si>
    <t>human</t>
  </si>
  <si>
    <t>feed</t>
  </si>
  <si>
    <t>Australia c</t>
  </si>
  <si>
    <t>Domestic Use</t>
  </si>
  <si>
    <r>
      <rPr>
        <b/>
        <sz val="8"/>
        <color rgb="FF000000"/>
        <rFont val="Calibri"/>
        <family val="2"/>
      </rPr>
      <t>a</t>
    </r>
    <r>
      <rPr>
        <sz val="8"/>
        <color rgb="FF000000"/>
        <rFont val="Calibri"/>
        <family val="2"/>
      </rPr>
      <t xml:space="preserve"> Aggregation of local marketing years. </t>
    </r>
    <r>
      <rPr>
        <b/>
        <sz val="8"/>
        <color rgb="FF000000"/>
        <rFont val="Calibri"/>
        <family val="2"/>
      </rPr>
      <t>b</t>
    </r>
    <r>
      <rPr>
        <sz val="8"/>
        <color rgb="FF000000"/>
        <rFont val="Calibri"/>
        <family val="2"/>
      </rPr>
      <t xml:space="preserve"> US no. 2 hard red winter wheat, fob Gulf, July–June. </t>
    </r>
    <r>
      <rPr>
        <b/>
        <sz val="8"/>
        <color rgb="FF000000"/>
        <rFont val="Calibri"/>
        <family val="2"/>
      </rPr>
      <t>c</t>
    </r>
    <r>
      <rPr>
        <sz val="8"/>
        <color rgb="FF000000"/>
        <rFont val="Calibri"/>
        <family val="2"/>
      </rPr>
      <t xml:space="preserve"> Marketing year, 1 October to 30 September. </t>
    </r>
    <r>
      <rPr>
        <b/>
        <sz val="8"/>
        <color rgb="FF000000"/>
        <rFont val="Calibri"/>
        <family val="2"/>
      </rPr>
      <t>d</t>
    </r>
    <r>
      <rPr>
        <sz val="8"/>
        <color rgb="FF000000"/>
        <rFont val="Calibri"/>
        <family val="2"/>
      </rPr>
      <t xml:space="preserve"> Australian premium white no. 1 wheat, fob Adelaide, July–June. </t>
    </r>
    <r>
      <rPr>
        <b/>
        <sz val="8"/>
        <color rgb="FF000000"/>
        <rFont val="Calibri"/>
        <family val="2"/>
      </rPr>
      <t>f</t>
    </r>
    <r>
      <rPr>
        <sz val="8"/>
        <color rgb="FF000000"/>
        <rFont val="Calibri"/>
        <family val="2"/>
      </rPr>
      <t xml:space="preserve"> ABARES forecast. </t>
    </r>
    <r>
      <rPr>
        <b/>
        <sz val="8"/>
        <color rgb="FF000000"/>
        <rFont val="Calibri"/>
        <family val="2"/>
      </rPr>
      <t>s</t>
    </r>
    <r>
      <rPr>
        <sz val="8"/>
        <color rgb="FF000000"/>
        <rFont val="Calibri"/>
        <family val="2"/>
      </rPr>
      <t> ABARES estimate.
Sources: ABARES; ABS; Agriculture and Agri-Food Canada; IGC; USDA</t>
    </r>
  </si>
  <si>
    <t>Outlook for wine and wine grapes</t>
  </si>
  <si>
    <t>Wine Grapes a</t>
  </si>
  <si>
    <t xml:space="preserve">Bearing area </t>
  </si>
  <si>
    <t>000 ha</t>
  </si>
  <si>
    <t xml:space="preserve">Total crush </t>
  </si>
  <si>
    <t>Red variety</t>
  </si>
  <si>
    <t>White variety</t>
  </si>
  <si>
    <t>Gross unit value</t>
  </si>
  <si>
    <t>$/t</t>
  </si>
  <si>
    <t xml:space="preserve">Gross value of production </t>
  </si>
  <si>
    <t>Inland Region Wine Grape Prices b</t>
  </si>
  <si>
    <t>Cabernet Sauvignon</t>
  </si>
  <si>
    <t>Shiraz</t>
  </si>
  <si>
    <t>Merlot</t>
  </si>
  <si>
    <t>Chardonnay</t>
  </si>
  <si>
    <t>Pinot Gris/Grigio</t>
  </si>
  <si>
    <t>Sauvignon Blanc</t>
  </si>
  <si>
    <t>Wine</t>
  </si>
  <si>
    <t>Volume</t>
  </si>
  <si>
    <t>Unit price</t>
  </si>
  <si>
    <t>$/L</t>
  </si>
  <si>
    <t>Value</t>
  </si>
  <si>
    <r>
      <rPr>
        <b/>
        <sz val="8"/>
        <rFont val="Calibri"/>
        <family val="2"/>
      </rPr>
      <t>a</t>
    </r>
    <r>
      <rPr>
        <sz val="8"/>
        <rFont val="Calibri"/>
        <family val="2"/>
      </rPr>
      <t xml:space="preserve"> All values are for unprocessed wine grapes. </t>
    </r>
    <r>
      <rPr>
        <b/>
        <sz val="8"/>
        <rFont val="Calibri"/>
        <family val="2"/>
      </rPr>
      <t>b</t>
    </r>
    <r>
      <rPr>
        <sz val="8"/>
        <rFont val="Calibri"/>
        <family val="2"/>
      </rPr>
      <t xml:space="preserve"> Prices for unprocessed wine grapes in the inland region (Murray–Darling &amp; Swan Hill, the Riverina and the Riverland). </t>
    </r>
    <r>
      <rPr>
        <b/>
        <sz val="8"/>
        <rFont val="Calibri"/>
        <family val="2"/>
      </rPr>
      <t>f</t>
    </r>
    <r>
      <rPr>
        <sz val="8"/>
        <rFont val="Calibri"/>
        <family val="2"/>
      </rPr>
      <t xml:space="preserve"> ABARES forecast.</t>
    </r>
    <r>
      <rPr>
        <b/>
        <sz val="8"/>
        <rFont val="Calibri"/>
        <family val="2"/>
      </rPr>
      <t xml:space="preserve"> s</t>
    </r>
    <r>
      <rPr>
        <sz val="8"/>
        <rFont val="Calibri"/>
        <family val="2"/>
      </rPr>
      <t xml:space="preserve"> ABARES estimate.
Sources: ABARES; ABS; Wine Australia</t>
    </r>
  </si>
  <si>
    <t>Beef &amp; Cattle</t>
  </si>
  <si>
    <t>Coarse Grains</t>
  </si>
  <si>
    <t>Dairy</t>
  </si>
  <si>
    <t>Fisheries</t>
  </si>
  <si>
    <t>Key Macro</t>
  </si>
  <si>
    <t>Lamb, sheep and wool</t>
  </si>
  <si>
    <t>Major indicators</t>
  </si>
  <si>
    <t>Oilseeds</t>
  </si>
  <si>
    <t>Pigs, poultry and eggs</t>
  </si>
  <si>
    <t>Sugar</t>
  </si>
  <si>
    <t>Wheat</t>
  </si>
  <si>
    <r>
      <t>© Commonwealth of Australia 2026.</t>
    </r>
    <r>
      <rPr>
        <b/>
        <sz val="8"/>
        <color rgb="FF000000"/>
        <rFont val="Calibri"/>
        <family val="2"/>
      </rPr>
      <t xml:space="preserve"> Ownership of intellectual property rights:</t>
    </r>
    <r>
      <rPr>
        <sz val="8"/>
        <color rgb="FF000000"/>
        <rFont val="Calibri"/>
        <family val="2"/>
      </rPr>
      <t xml:space="preserve"> Unless otherwise noted, copyright (and any other intellectual property rights, if any) in this publication is owned by the Commonwealth of Australia (referred to as the Commonwealth). </t>
    </r>
    <r>
      <rPr>
        <b/>
        <sz val="8"/>
        <color rgb="FF000000"/>
        <rFont val="Calibri"/>
        <family val="2"/>
      </rPr>
      <t>Creative Commons licence:</t>
    </r>
    <r>
      <rPr>
        <sz val="8"/>
        <color rgb="FF000000"/>
        <rFont val="Calibri"/>
        <family val="2"/>
      </rPr>
      <t xml:space="preserve"> All material in this publication is licensed under a Creative Commons Attribution 4.0 International Licence, save for content supplied by third parties, logos and the Commonwealth Coat of Arms. Creative Commons Attribution 4.0 International Licence is a standard form licence agreement that allows you to copy, distribute, transmit and adapt this publication provided you attribute the work. A summary of the licence terms is available from creativecommons.org/licenses/by/4.0. The full licence terms are available from creativecommons.org/licenses/by/4.0/legalcode</t>
    </r>
    <r>
      <rPr>
        <b/>
        <sz val="8"/>
        <color rgb="FF000000"/>
        <rFont val="Calibri"/>
        <family val="2"/>
      </rPr>
      <t>. Cataloguing data:</t>
    </r>
    <r>
      <rPr>
        <sz val="8"/>
        <color rgb="FF000000"/>
        <rFont val="Calibri"/>
        <family val="2"/>
      </rPr>
      <t xml:space="preserve"> This publication (and any material sourced from it) should be attributed as:  </t>
    </r>
  </si>
  <si>
    <t>ABARES 2026, Agricultural commodities: September quarter 2026, Australian Bureau of Agricultural and Resource Economics and Sciences, Canberra, September CC BY 4.0. https://doi.org/10.25814/z2p7-s618</t>
  </si>
  <si>
    <t xml:space="preserve">World b </t>
  </si>
  <si>
    <t>Value of exports</t>
  </si>
  <si>
    <t>livestock</t>
  </si>
  <si>
    <t>Gross value of production b</t>
  </si>
  <si>
    <t xml:space="preserve">Lamb slaughterings </t>
  </si>
  <si>
    <t>World b</t>
  </si>
  <si>
    <t>Salmonids a</t>
  </si>
  <si>
    <t xml:space="preserve">Other fish </t>
  </si>
  <si>
    <t>Other nei</t>
  </si>
  <si>
    <t xml:space="preserve">Cotton lint </t>
  </si>
  <si>
    <t>Cattle ab</t>
  </si>
  <si>
    <t>Agricultural commodities September 2026</t>
  </si>
  <si>
    <t>Commodity tables</t>
  </si>
  <si>
    <r>
      <t xml:space="preserve">South–East Asia </t>
    </r>
    <r>
      <rPr>
        <b/>
        <sz val="9"/>
        <color rgb="FF000000"/>
        <rFont val="Calibri"/>
        <family val="2"/>
      </rPr>
      <t>c</t>
    </r>
  </si>
  <si>
    <r>
      <t xml:space="preserve">China </t>
    </r>
    <r>
      <rPr>
        <b/>
        <sz val="9"/>
        <color rgb="FF000000"/>
        <rFont val="Calibri"/>
        <family val="2"/>
      </rPr>
      <t>d</t>
    </r>
  </si>
  <si>
    <r>
      <t xml:space="preserve">Interest rate </t>
    </r>
    <r>
      <rPr>
        <b/>
        <sz val="9"/>
        <color rgb="FF000000"/>
        <rFont val="Calibri"/>
        <family val="2"/>
      </rPr>
      <t>g</t>
    </r>
  </si>
  <si>
    <r>
      <t xml:space="preserve">Fisheries and aquaculture </t>
    </r>
    <r>
      <rPr>
        <b/>
        <sz val="9"/>
        <color rgb="FF000000"/>
        <rFont val="Calibri"/>
        <family val="2"/>
      </rPr>
      <t>a</t>
    </r>
  </si>
  <si>
    <r>
      <t xml:space="preserve">Fisheries products </t>
    </r>
    <r>
      <rPr>
        <b/>
        <sz val="9"/>
        <color rgb="FF000000"/>
        <rFont val="Calibri"/>
        <family val="2"/>
      </rPr>
      <t>c</t>
    </r>
  </si>
  <si>
    <r>
      <t xml:space="preserve">Forestry products </t>
    </r>
    <r>
      <rPr>
        <b/>
        <sz val="9"/>
        <color rgb="FF000000"/>
        <rFont val="Calibri"/>
        <family val="2"/>
      </rPr>
      <t>d</t>
    </r>
  </si>
  <si>
    <r>
      <t xml:space="preserve">Volume of farm production </t>
    </r>
    <r>
      <rPr>
        <b/>
        <sz val="9"/>
        <color rgb="FF000000"/>
        <rFont val="Calibri"/>
        <family val="2"/>
      </rPr>
      <t>e</t>
    </r>
  </si>
  <si>
    <r>
      <t xml:space="preserve">Sheep </t>
    </r>
    <r>
      <rPr>
        <b/>
        <sz val="9"/>
        <color rgb="FF000000"/>
        <rFont val="Calibri"/>
        <family val="2"/>
      </rPr>
      <t>g</t>
    </r>
  </si>
  <si>
    <r>
      <t xml:space="preserve">Cattle </t>
    </r>
    <r>
      <rPr>
        <b/>
        <sz val="9"/>
        <color rgb="FF000000"/>
        <rFont val="Calibri"/>
        <family val="2"/>
      </rPr>
      <t>g</t>
    </r>
  </si>
  <si>
    <r>
      <t xml:space="preserve">Net value of farm production </t>
    </r>
    <r>
      <rPr>
        <b/>
        <sz val="9"/>
        <color rgb="FF000000"/>
        <rFont val="Calibri"/>
        <family val="2"/>
      </rPr>
      <t>h</t>
    </r>
  </si>
  <si>
    <r>
      <t xml:space="preserve">Farmers’ terms of trade </t>
    </r>
    <r>
      <rPr>
        <b/>
        <sz val="9"/>
        <color rgb="FF000000"/>
        <rFont val="Calibri"/>
        <family val="2"/>
      </rPr>
      <t>i</t>
    </r>
  </si>
  <si>
    <r>
      <t xml:space="preserve">beef cattle </t>
    </r>
    <r>
      <rPr>
        <b/>
        <sz val="9"/>
        <color rgb="FF000000"/>
        <rFont val="Calibri"/>
        <family val="2"/>
      </rPr>
      <t>a</t>
    </r>
  </si>
  <si>
    <r>
      <t xml:space="preserve">Slaughterings </t>
    </r>
    <r>
      <rPr>
        <b/>
        <sz val="9"/>
        <color rgb="FF000000"/>
        <rFont val="Calibri"/>
        <family val="2"/>
      </rPr>
      <t>b</t>
    </r>
  </si>
  <si>
    <r>
      <t xml:space="preserve">Consumption per person </t>
    </r>
    <r>
      <rPr>
        <b/>
        <sz val="9"/>
        <color rgb="FF000000"/>
        <rFont val="Calibri"/>
        <family val="2"/>
      </rPr>
      <t>c</t>
    </r>
  </si>
  <si>
    <r>
      <t xml:space="preserve">Beef and veal exports </t>
    </r>
    <r>
      <rPr>
        <b/>
        <sz val="9"/>
        <color rgb="FF000000"/>
        <rFont val="Calibri"/>
        <family val="2"/>
      </rPr>
      <t>d</t>
    </r>
  </si>
  <si>
    <r>
      <t xml:space="preserve">Live feeder/slaughter cattle exports </t>
    </r>
    <r>
      <rPr>
        <b/>
        <sz val="9"/>
        <color rgb="FF000000"/>
        <rFont val="Calibri"/>
        <family val="2"/>
      </rPr>
      <t>d</t>
    </r>
  </si>
  <si>
    <r>
      <t xml:space="preserve">Saleyard cattle </t>
    </r>
    <r>
      <rPr>
        <b/>
        <sz val="9"/>
        <color rgb="FF000000"/>
        <rFont val="Calibri"/>
        <family val="2"/>
      </rPr>
      <t>e</t>
    </r>
  </si>
  <si>
    <r>
      <t xml:space="preserve">United States import </t>
    </r>
    <r>
      <rPr>
        <b/>
        <sz val="9"/>
        <color rgb="FF000000"/>
        <rFont val="Calibri"/>
        <family val="2"/>
      </rPr>
      <t>g</t>
    </r>
  </si>
  <si>
    <r>
      <t xml:space="preserve">Cattle and calf slaughterings </t>
    </r>
    <r>
      <rPr>
        <b/>
        <sz val="9"/>
        <color rgb="FF000000"/>
        <rFont val="Calibri"/>
        <family val="2"/>
      </rPr>
      <t>bh</t>
    </r>
  </si>
  <si>
    <r>
      <t xml:space="preserve">Cattle exported live </t>
    </r>
    <r>
      <rPr>
        <b/>
        <sz val="9"/>
        <color rgb="FF000000"/>
        <rFont val="Calibri"/>
        <family val="2"/>
      </rPr>
      <t>i</t>
    </r>
  </si>
  <si>
    <r>
      <t xml:space="preserve">Corn price </t>
    </r>
    <r>
      <rPr>
        <b/>
        <sz val="9"/>
        <color rgb="FF000000"/>
        <rFont val="Calibri"/>
        <family val="2"/>
      </rPr>
      <t>b</t>
    </r>
  </si>
  <si>
    <r>
      <t xml:space="preserve">Barley price </t>
    </r>
    <r>
      <rPr>
        <b/>
        <sz val="9"/>
        <color rgb="FF000000"/>
        <rFont val="Calibri"/>
        <family val="2"/>
      </rPr>
      <t>c</t>
    </r>
  </si>
  <si>
    <r>
      <t xml:space="preserve">Closing stocks </t>
    </r>
    <r>
      <rPr>
        <b/>
        <sz val="9"/>
        <color rgb="FF000000"/>
        <rFont val="Calibri"/>
        <family val="2"/>
      </rPr>
      <t>e</t>
    </r>
  </si>
  <si>
    <r>
      <t xml:space="preserve">Closing stocks </t>
    </r>
    <r>
      <rPr>
        <b/>
        <sz val="9"/>
        <color rgb="FF000000"/>
        <rFont val="Calibri"/>
        <family val="2"/>
      </rPr>
      <t>h</t>
    </r>
  </si>
  <si>
    <r>
      <t xml:space="preserve">Feed barley price </t>
    </r>
    <r>
      <rPr>
        <b/>
        <sz val="9"/>
        <color rgb="FF000000"/>
        <rFont val="Calibri"/>
        <family val="2"/>
      </rPr>
      <t>i</t>
    </r>
  </si>
  <si>
    <r>
      <t xml:space="preserve">Malting barley price </t>
    </r>
    <r>
      <rPr>
        <b/>
        <sz val="9"/>
        <color rgb="FF000000"/>
        <rFont val="Calibri"/>
        <family val="2"/>
      </rPr>
      <t>j</t>
    </r>
  </si>
  <si>
    <r>
      <t xml:space="preserve">Grain sorghum price </t>
    </r>
    <r>
      <rPr>
        <b/>
        <sz val="9"/>
        <color rgb="FF000000"/>
        <rFont val="Calibri"/>
        <family val="2"/>
      </rPr>
      <t>k</t>
    </r>
    <r>
      <rPr>
        <sz val="9"/>
        <color rgb="FF000000"/>
        <rFont val="Calibri"/>
        <family val="2"/>
      </rPr>
      <t xml:space="preserve"> </t>
    </r>
  </si>
  <si>
    <r>
      <t xml:space="preserve">World </t>
    </r>
    <r>
      <rPr>
        <b/>
        <sz val="9"/>
        <color rgb="FF000000"/>
        <rFont val="Calibri"/>
        <family val="2"/>
      </rPr>
      <t>a</t>
    </r>
  </si>
  <si>
    <r>
      <t xml:space="preserve">Exports </t>
    </r>
    <r>
      <rPr>
        <b/>
        <sz val="9"/>
        <color rgb="FF000000"/>
        <rFont val="Calibri"/>
        <family val="2"/>
      </rPr>
      <t>b</t>
    </r>
  </si>
  <si>
    <r>
      <t xml:space="preserve">Gin-gate returns </t>
    </r>
    <r>
      <rPr>
        <b/>
        <sz val="9"/>
        <color rgb="FF000000"/>
        <rFont val="Calibri"/>
        <family val="2"/>
      </rPr>
      <t>c</t>
    </r>
  </si>
  <si>
    <r>
      <t xml:space="preserve">Cows </t>
    </r>
    <r>
      <rPr>
        <b/>
        <sz val="9"/>
        <color rgb="FF000000"/>
        <rFont val="Calibri"/>
        <family val="2"/>
      </rPr>
      <t>ab</t>
    </r>
  </si>
  <si>
    <r>
      <t xml:space="preserve">Cheese </t>
    </r>
    <r>
      <rPr>
        <b/>
        <sz val="9"/>
        <color rgb="FF000000"/>
        <rFont val="Calibri"/>
        <family val="2"/>
      </rPr>
      <t>c</t>
    </r>
  </si>
  <si>
    <r>
      <t xml:space="preserve">Value of exports </t>
    </r>
    <r>
      <rPr>
        <b/>
        <sz val="9"/>
        <color rgb="FF000000"/>
        <rFont val="Calibri"/>
        <family val="2"/>
      </rPr>
      <t>d</t>
    </r>
  </si>
  <si>
    <r>
      <t xml:space="preserve">Salmonids </t>
    </r>
    <r>
      <rPr>
        <b/>
        <sz val="9"/>
        <color rgb="FF000000"/>
        <rFont val="Calibri"/>
        <family val="2"/>
      </rPr>
      <t>a</t>
    </r>
  </si>
  <si>
    <r>
      <t xml:space="preserve">Sheep </t>
    </r>
    <r>
      <rPr>
        <b/>
        <sz val="9"/>
        <color rgb="FF000000"/>
        <rFont val="Calibri"/>
        <family val="2"/>
      </rPr>
      <t>a</t>
    </r>
  </si>
  <si>
    <r>
      <t xml:space="preserve">Total production </t>
    </r>
    <r>
      <rPr>
        <b/>
        <sz val="9"/>
        <color rgb="FF000000"/>
        <rFont val="Calibri"/>
        <family val="2"/>
      </rPr>
      <t>b</t>
    </r>
  </si>
  <si>
    <r>
      <t xml:space="preserve">  number </t>
    </r>
    <r>
      <rPr>
        <b/>
        <sz val="9"/>
        <color rgb="FF000000"/>
        <rFont val="Calibri"/>
        <family val="2"/>
      </rPr>
      <t>d</t>
    </r>
  </si>
  <si>
    <r>
      <t xml:space="preserve">   total </t>
    </r>
    <r>
      <rPr>
        <b/>
        <sz val="9"/>
        <color rgb="FF000000"/>
        <rFont val="Calibri"/>
        <family val="2"/>
      </rPr>
      <t>g</t>
    </r>
  </si>
  <si>
    <r>
      <t xml:space="preserve">  quantity </t>
    </r>
    <r>
      <rPr>
        <b/>
        <sz val="9"/>
        <color rgb="FF000000"/>
        <rFont val="Calibri"/>
        <family val="2"/>
      </rPr>
      <t>h</t>
    </r>
  </si>
  <si>
    <r>
      <t xml:space="preserve">  value </t>
    </r>
    <r>
      <rPr>
        <b/>
        <sz val="9"/>
        <color rgb="FF000000"/>
        <rFont val="Calibri"/>
        <family val="2"/>
      </rPr>
      <t>h</t>
    </r>
  </si>
  <si>
    <r>
      <t xml:space="preserve">Eastern Market Indicator </t>
    </r>
    <r>
      <rPr>
        <b/>
        <sz val="9"/>
        <color rgb="FF000000"/>
        <rFont val="Calibri"/>
        <family val="2"/>
      </rPr>
      <t>i</t>
    </r>
  </si>
  <si>
    <r>
      <t xml:space="preserve">Sheep exported live </t>
    </r>
    <r>
      <rPr>
        <b/>
        <sz val="9"/>
        <color rgb="FF000000"/>
        <rFont val="Calibri"/>
        <family val="2"/>
      </rPr>
      <t>d</t>
    </r>
  </si>
  <si>
    <r>
      <t xml:space="preserve">Wool </t>
    </r>
    <r>
      <rPr>
        <b/>
        <sz val="9"/>
        <color rgb="FF000000"/>
        <rFont val="Calibri"/>
        <family val="2"/>
      </rPr>
      <t>g</t>
    </r>
  </si>
  <si>
    <r>
      <t xml:space="preserve">Consumption per person </t>
    </r>
    <r>
      <rPr>
        <b/>
        <sz val="9"/>
        <color rgb="FF000000"/>
        <rFont val="Calibri"/>
        <family val="2"/>
      </rPr>
      <t>bc</t>
    </r>
  </si>
  <si>
    <r>
      <t xml:space="preserve">  value </t>
    </r>
    <r>
      <rPr>
        <b/>
        <sz val="9"/>
        <color rgb="FF000000"/>
        <rFont val="Calibri"/>
        <family val="2"/>
      </rPr>
      <t>d</t>
    </r>
  </si>
  <si>
    <r>
      <t xml:space="preserve">Soybean indicator price </t>
    </r>
    <r>
      <rPr>
        <b/>
        <sz val="9"/>
        <color rgb="FF000000"/>
        <rFont val="Calibri"/>
        <family val="2"/>
      </rPr>
      <t>b</t>
    </r>
  </si>
  <si>
    <r>
      <t xml:space="preserve">Canola indicator price </t>
    </r>
    <r>
      <rPr>
        <b/>
        <sz val="9"/>
        <color rgb="FF000000"/>
        <rFont val="Calibri"/>
        <family val="2"/>
      </rPr>
      <t>c</t>
    </r>
  </si>
  <si>
    <r>
      <t xml:space="preserve">Price </t>
    </r>
    <r>
      <rPr>
        <b/>
        <sz val="9"/>
        <color rgb="FF000000"/>
        <rFont val="Calibri"/>
        <family val="2"/>
      </rPr>
      <t>e</t>
    </r>
  </si>
  <si>
    <r>
      <t xml:space="preserve">Poultry meat </t>
    </r>
    <r>
      <rPr>
        <b/>
        <sz val="9"/>
        <color rgb="FF000000"/>
        <rFont val="Calibri"/>
        <family val="2"/>
      </rPr>
      <t>c</t>
    </r>
  </si>
  <si>
    <r>
      <t xml:space="preserve">Poultry slaughtering </t>
    </r>
    <r>
      <rPr>
        <b/>
        <sz val="9"/>
        <color rgb="FF000000"/>
        <rFont val="Calibri"/>
        <family val="2"/>
      </rPr>
      <t>c</t>
    </r>
  </si>
  <si>
    <r>
      <t xml:space="preserve">Price </t>
    </r>
    <r>
      <rPr>
        <b/>
        <sz val="9"/>
        <color rgb="FF000000"/>
        <rFont val="Calibri"/>
        <family val="2"/>
      </rPr>
      <t>c</t>
    </r>
  </si>
  <si>
    <r>
      <t xml:space="preserve">Gross value of sugar cane </t>
    </r>
    <r>
      <rPr>
        <b/>
        <sz val="9"/>
        <color rgb="FF000000"/>
        <rFont val="Calibri"/>
        <family val="2"/>
      </rPr>
      <t>e</t>
    </r>
  </si>
  <si>
    <r>
      <t xml:space="preserve">Area </t>
    </r>
    <r>
      <rPr>
        <b/>
        <sz val="9"/>
        <color rgb="FF000000"/>
        <rFont val="Calibri"/>
        <family val="2"/>
      </rPr>
      <t>e</t>
    </r>
  </si>
  <si>
    <r>
      <t xml:space="preserve">Production </t>
    </r>
    <r>
      <rPr>
        <b/>
        <sz val="9"/>
        <color rgb="FF000000"/>
        <rFont val="Calibri"/>
        <family val="2"/>
      </rPr>
      <t>g</t>
    </r>
  </si>
  <si>
    <r>
      <t xml:space="preserve">Price </t>
    </r>
    <r>
      <rPr>
        <b/>
        <sz val="9"/>
        <color rgb="FF000000"/>
        <rFont val="Calibri"/>
        <family val="2"/>
      </rPr>
      <t>b</t>
    </r>
  </si>
  <si>
    <r>
      <t xml:space="preserve">Price </t>
    </r>
    <r>
      <rPr>
        <b/>
        <sz val="9"/>
        <color rgb="FF000000"/>
        <rFont val="Calibri"/>
        <family val="2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</si>
</sst>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0.0"/>
    <numFmt numFmtId="165" formatCode="###\ ##0.0;\–###\ ##0.0"/>
    <numFmt numFmtId="166" formatCode="###\ ##0.0;\–###\ ##0"/>
    <numFmt numFmtId="167" formatCode="####\ ##0.0;\–###.0\ ##0"/>
    <numFmt numFmtId="168" formatCode="#####\ ##0.0;\–###.00\ ##0"/>
    <numFmt numFmtId="169" formatCode="0.0;\–0.0"/>
    <numFmt numFmtId="170" formatCode="###\ ##0;\–###\ ##0"/>
    <numFmt numFmtId="171" formatCode="0.00000"/>
    <numFmt numFmtId="172" formatCode="0.0000000"/>
    <numFmt numFmtId="173" formatCode="0.000"/>
    <numFmt numFmtId="174" formatCode="#########\ ##0.0;\–#########\ ##0.0"/>
    <numFmt numFmtId="175" formatCode="########\ ##0.0;\–########\ ##0.0"/>
    <numFmt numFmtId="176" formatCode="#####\ ##0.0;\–#####\ ##0.0"/>
    <numFmt numFmtId="177" formatCode="#,##0.0"/>
    <numFmt numFmtId="178" formatCode="###\ ##0.00;\–###\ ##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sz val="12"/>
      <color rgb="FF000000"/>
      <name val="Cambria"/>
      <family val="1"/>
    </font>
    <font>
      <sz val="10"/>
      <color rgb="FF000000"/>
      <name val="Courier"/>
      <family val="3"/>
    </font>
    <font>
      <b/>
      <i/>
      <sz val="9"/>
      <color rgb="FF000000"/>
      <name val="Calibri"/>
      <family val="2"/>
    </font>
    <font>
      <i/>
      <sz val="8"/>
      <color rgb="FF000000"/>
      <name val="Calibri"/>
      <family val="2"/>
    </font>
    <font>
      <sz val="10"/>
      <color rgb="FF000000"/>
      <name val="Cambria"/>
      <family val="1"/>
    </font>
    <font>
      <b/>
      <sz val="9"/>
      <name val="Calibri"/>
      <family val="2"/>
    </font>
    <font>
      <sz val="10"/>
      <name val="Courier"/>
      <family val="3"/>
    </font>
    <font>
      <sz val="9"/>
      <color rgb="FF000000"/>
      <name val="Courier"/>
      <family val="3"/>
    </font>
    <font>
      <i/>
      <sz val="9"/>
      <color rgb="FF000000"/>
      <name val="Courier"/>
      <family val="3"/>
    </font>
    <font>
      <b/>
      <i/>
      <sz val="8"/>
      <color rgb="FF000000"/>
      <name val="Calibri"/>
      <family val="2"/>
    </font>
    <font>
      <sz val="9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mbria"/>
      <family val="1"/>
    </font>
    <font>
      <b/>
      <sz val="14"/>
      <color rgb="FF000000"/>
      <name val="Cambria"/>
      <family val="1"/>
    </font>
    <font>
      <sz val="11"/>
      <color theme="1"/>
      <name val="Cambria"/>
      <family val="1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4" fillId="0" borderId="0"/>
    <xf numFmtId="0" fontId="21" fillId="0" borderId="0" applyNumberFormat="0" applyFill="0" applyBorder="0" applyAlignment="0" applyProtection="0"/>
  </cellStyleXfs>
  <cellXfs count="269">
    <xf numFmtId="0" fontId="0" fillId="0" borderId="0" xfId="0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4" fillId="2" borderId="7" xfId="0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vertical="center"/>
    </xf>
    <xf numFmtId="166" fontId="11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3" borderId="0" xfId="0" applyFont="1" applyFill="1"/>
    <xf numFmtId="0" fontId="0" fillId="3" borderId="0" xfId="0" applyFill="1"/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right"/>
    </xf>
    <xf numFmtId="165" fontId="10" fillId="3" borderId="3" xfId="0" applyNumberFormat="1" applyFont="1" applyFill="1" applyBorder="1" applyAlignment="1">
      <alignment horizontal="right" wrapText="1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right"/>
    </xf>
    <xf numFmtId="165" fontId="10" fillId="3" borderId="5" xfId="0" applyNumberFormat="1" applyFont="1" applyFill="1" applyBorder="1" applyAlignment="1">
      <alignment horizontal="right" wrapText="1"/>
    </xf>
    <xf numFmtId="0" fontId="2" fillId="3" borderId="6" xfId="0" applyFont="1" applyFill="1" applyBorder="1" applyAlignment="1">
      <alignment vertical="center"/>
    </xf>
    <xf numFmtId="0" fontId="4" fillId="3" borderId="7" xfId="0" applyFont="1" applyFill="1" applyBorder="1" applyAlignment="1" applyProtection="1">
      <alignment horizontal="right" vertical="center"/>
      <protection locked="0"/>
    </xf>
    <xf numFmtId="3" fontId="4" fillId="3" borderId="7" xfId="0" applyNumberFormat="1" applyFont="1" applyFill="1" applyBorder="1" applyAlignment="1">
      <alignment vertical="center"/>
    </xf>
    <xf numFmtId="166" fontId="11" fillId="3" borderId="7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left" vertical="center" indent="1"/>
    </xf>
    <xf numFmtId="167" fontId="11" fillId="3" borderId="7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 applyProtection="1">
      <alignment horizontal="left" vertical="top"/>
      <protection locked="0"/>
    </xf>
    <xf numFmtId="0" fontId="4" fillId="3" borderId="7" xfId="0" applyFont="1" applyFill="1" applyBorder="1" applyAlignment="1">
      <alignment horizontal="right" vertical="center"/>
    </xf>
    <xf numFmtId="168" fontId="11" fillId="3" borderId="7" xfId="0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 applyProtection="1">
      <alignment vertical="center"/>
      <protection locked="0"/>
    </xf>
    <xf numFmtId="0" fontId="9" fillId="3" borderId="7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left" vertical="top"/>
    </xf>
    <xf numFmtId="0" fontId="2" fillId="3" borderId="6" xfId="0" applyFont="1" applyFill="1" applyBorder="1" applyAlignment="1">
      <alignment horizontal="left" vertical="top" indent="1"/>
    </xf>
    <xf numFmtId="0" fontId="8" fillId="2" borderId="8" xfId="0" applyFont="1" applyFill="1" applyBorder="1" applyAlignment="1">
      <alignment vertical="center"/>
    </xf>
    <xf numFmtId="0" fontId="9" fillId="2" borderId="8" xfId="0" applyFont="1" applyFill="1" applyBorder="1"/>
    <xf numFmtId="0" fontId="3" fillId="2" borderId="4" xfId="0" applyFont="1" applyFill="1" applyBorder="1" applyAlignment="1">
      <alignment vertical="center"/>
    </xf>
    <xf numFmtId="3" fontId="4" fillId="2" borderId="7" xfId="0" applyNumberFormat="1" applyFont="1" applyFill="1" applyBorder="1" applyAlignment="1">
      <alignment vertical="center"/>
    </xf>
    <xf numFmtId="3" fontId="11" fillId="2" borderId="7" xfId="0" applyNumberFormat="1" applyFont="1" applyFill="1" applyBorder="1" applyAlignment="1">
      <alignment vertical="center"/>
    </xf>
    <xf numFmtId="3" fontId="11" fillId="2" borderId="9" xfId="0" applyNumberFormat="1" applyFont="1" applyFill="1" applyBorder="1" applyAlignment="1">
      <alignment vertical="center"/>
    </xf>
    <xf numFmtId="3" fontId="4" fillId="2" borderId="10" xfId="0" applyNumberFormat="1" applyFont="1" applyFill="1" applyBorder="1" applyAlignment="1">
      <alignment vertical="center"/>
    </xf>
    <xf numFmtId="164" fontId="11" fillId="2" borderId="0" xfId="0" applyNumberFormat="1" applyFont="1" applyFill="1" applyAlignment="1">
      <alignment horizontal="right" vertical="center"/>
    </xf>
    <xf numFmtId="3" fontId="11" fillId="2" borderId="5" xfId="0" applyNumberFormat="1" applyFont="1" applyFill="1" applyBorder="1" applyAlignment="1">
      <alignment vertical="center"/>
    </xf>
    <xf numFmtId="0" fontId="3" fillId="2" borderId="11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2" fillId="2" borderId="6" xfId="0" applyFont="1" applyFill="1" applyBorder="1" applyAlignment="1">
      <alignment vertical="center"/>
    </xf>
    <xf numFmtId="3" fontId="4" fillId="3" borderId="0" xfId="0" applyNumberFormat="1" applyFont="1" applyFill="1"/>
    <xf numFmtId="169" fontId="4" fillId="3" borderId="0" xfId="0" applyNumberFormat="1" applyFont="1" applyFill="1"/>
    <xf numFmtId="3" fontId="3" fillId="3" borderId="5" xfId="0" applyNumberFormat="1" applyFont="1" applyFill="1" applyBorder="1" applyAlignment="1">
      <alignment horizontal="right"/>
    </xf>
    <xf numFmtId="169" fontId="10" fillId="3" borderId="5" xfId="0" applyNumberFormat="1" applyFont="1" applyFill="1" applyBorder="1" applyAlignment="1">
      <alignment horizontal="right" wrapText="1"/>
    </xf>
    <xf numFmtId="170" fontId="3" fillId="3" borderId="6" xfId="0" applyNumberFormat="1" applyFont="1" applyFill="1" applyBorder="1" applyAlignment="1" applyProtection="1">
      <alignment vertical="center"/>
      <protection locked="0"/>
    </xf>
    <xf numFmtId="170" fontId="9" fillId="3" borderId="7" xfId="0" applyNumberFormat="1" applyFont="1" applyFill="1" applyBorder="1" applyAlignment="1">
      <alignment vertical="center"/>
    </xf>
    <xf numFmtId="0" fontId="2" fillId="3" borderId="6" xfId="0" applyFont="1" applyFill="1" applyBorder="1" applyAlignment="1" applyProtection="1">
      <alignment horizontal="left" vertical="center"/>
      <protection locked="0"/>
    </xf>
    <xf numFmtId="3" fontId="11" fillId="3" borderId="7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65" fontId="10" fillId="2" borderId="3" xfId="0" applyNumberFormat="1" applyFont="1" applyFill="1" applyBorder="1" applyAlignment="1">
      <alignment horizontal="right" wrapText="1"/>
    </xf>
    <xf numFmtId="0" fontId="3" fillId="2" borderId="12" xfId="0" applyFont="1" applyFill="1" applyBorder="1" applyAlignment="1" applyProtection="1">
      <alignment vertical="center"/>
      <protection locked="0"/>
    </xf>
    <xf numFmtId="0" fontId="3" fillId="2" borderId="6" xfId="0" applyFont="1" applyFill="1" applyBorder="1" applyAlignment="1" applyProtection="1">
      <alignment vertical="center"/>
      <protection locked="0"/>
    </xf>
    <xf numFmtId="0" fontId="2" fillId="2" borderId="12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 applyProtection="1">
      <alignment vertical="center"/>
      <protection locked="0"/>
    </xf>
    <xf numFmtId="0" fontId="2" fillId="2" borderId="6" xfId="0" applyFont="1" applyFill="1" applyBorder="1" applyAlignment="1">
      <alignment horizontal="left" vertical="center" indent="1"/>
    </xf>
    <xf numFmtId="0" fontId="4" fillId="2" borderId="7" xfId="0" applyFont="1" applyFill="1" applyBorder="1" applyAlignment="1" applyProtection="1">
      <alignment horizontal="right" vertical="center"/>
      <protection locked="0"/>
    </xf>
    <xf numFmtId="164" fontId="4" fillId="2" borderId="9" xfId="0" applyNumberFormat="1" applyFont="1" applyFill="1" applyBorder="1" applyAlignment="1">
      <alignment horizontal="right" vertical="center"/>
    </xf>
    <xf numFmtId="164" fontId="11" fillId="2" borderId="9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top" indent="1"/>
    </xf>
    <xf numFmtId="164" fontId="4" fillId="2" borderId="0" xfId="0" applyNumberFormat="1" applyFont="1" applyFill="1" applyAlignment="1">
      <alignment horizontal="right" vertical="center"/>
    </xf>
    <xf numFmtId="164" fontId="4" fillId="2" borderId="13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 applyProtection="1">
      <alignment horizontal="left" vertical="center" indent="1"/>
      <protection locked="0"/>
    </xf>
    <xf numFmtId="2" fontId="4" fillId="2" borderId="0" xfId="0" applyNumberFormat="1" applyFont="1" applyFill="1" applyAlignment="1">
      <alignment horizontal="right"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11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indent="2"/>
    </xf>
    <xf numFmtId="0" fontId="4" fillId="2" borderId="9" xfId="0" applyFont="1" applyFill="1" applyBorder="1" applyAlignment="1">
      <alignment horizontal="right" vertical="center"/>
    </xf>
    <xf numFmtId="171" fontId="11" fillId="2" borderId="9" xfId="0" applyNumberFormat="1" applyFont="1" applyFill="1" applyBorder="1" applyAlignment="1">
      <alignment horizontal="right" vertical="center"/>
    </xf>
    <xf numFmtId="0" fontId="2" fillId="2" borderId="0" xfId="0" applyFont="1" applyFill="1" applyAlignment="1" applyProtection="1">
      <alignment horizontal="left" vertical="center" indent="2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/>
    </xf>
    <xf numFmtId="0" fontId="11" fillId="2" borderId="12" xfId="0" applyFont="1" applyFill="1" applyBorder="1" applyAlignment="1">
      <alignment vertical="center"/>
    </xf>
    <xf numFmtId="43" fontId="4" fillId="2" borderId="12" xfId="1" applyFont="1" applyFill="1" applyBorder="1" applyAlignment="1">
      <alignment vertical="center" wrapText="1"/>
    </xf>
    <xf numFmtId="172" fontId="11" fillId="2" borderId="12" xfId="0" applyNumberFormat="1" applyFont="1" applyFill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/>
    </xf>
    <xf numFmtId="0" fontId="2" fillId="2" borderId="6" xfId="0" applyFont="1" applyFill="1" applyBorder="1" applyAlignment="1" applyProtection="1">
      <alignment horizontal="left" vertical="center"/>
      <protection locked="0"/>
    </xf>
    <xf numFmtId="173" fontId="11" fillId="2" borderId="12" xfId="0" applyNumberFormat="1" applyFont="1" applyFill="1" applyBorder="1" applyAlignment="1">
      <alignment vertical="center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3" borderId="6" xfId="0" applyFont="1" applyFill="1" applyBorder="1" applyAlignment="1" applyProtection="1">
      <alignment horizontal="left" vertical="center" indent="1"/>
      <protection locked="0"/>
    </xf>
    <xf numFmtId="0" fontId="2" fillId="3" borderId="6" xfId="0" applyFont="1" applyFill="1" applyBorder="1" applyAlignment="1" applyProtection="1">
      <alignment horizontal="left" vertical="center" indent="2"/>
      <protection locked="0"/>
    </xf>
    <xf numFmtId="0" fontId="2" fillId="3" borderId="4" xfId="0" applyFont="1" applyFill="1" applyBorder="1" applyAlignment="1" applyProtection="1">
      <alignment horizontal="left" vertical="center"/>
      <protection locked="0"/>
    </xf>
    <xf numFmtId="0" fontId="4" fillId="3" borderId="5" xfId="0" applyFont="1" applyFill="1" applyBorder="1" applyAlignment="1">
      <alignment horizontal="right" vertical="center"/>
    </xf>
    <xf numFmtId="0" fontId="3" fillId="2" borderId="12" xfId="0" applyFont="1" applyFill="1" applyBorder="1"/>
    <xf numFmtId="0" fontId="3" fillId="2" borderId="6" xfId="0" applyFont="1" applyFill="1" applyBorder="1"/>
    <xf numFmtId="0" fontId="3" fillId="2" borderId="12" xfId="0" applyFont="1" applyFill="1" applyBorder="1" applyProtection="1">
      <protection locked="0"/>
    </xf>
    <xf numFmtId="0" fontId="2" fillId="2" borderId="6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wrapText="1"/>
    </xf>
    <xf numFmtId="0" fontId="2" fillId="2" borderId="0" xfId="0" applyFont="1" applyFill="1" applyAlignment="1">
      <alignment horizontal="left" wrapText="1"/>
    </xf>
    <xf numFmtId="0" fontId="3" fillId="2" borderId="12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3" fontId="4" fillId="2" borderId="7" xfId="0" applyNumberFormat="1" applyFont="1" applyFill="1" applyBorder="1" applyAlignment="1">
      <alignment wrapText="1"/>
    </xf>
    <xf numFmtId="3" fontId="11" fillId="2" borderId="7" xfId="0" applyNumberFormat="1" applyFont="1" applyFill="1" applyBorder="1" applyAlignment="1">
      <alignment wrapText="1"/>
    </xf>
    <xf numFmtId="0" fontId="2" fillId="2" borderId="0" xfId="3" applyFont="1" applyFill="1" applyAlignment="1">
      <alignment vertical="center"/>
    </xf>
    <xf numFmtId="0" fontId="2" fillId="2" borderId="15" xfId="3" applyFont="1" applyFill="1" applyBorder="1" applyAlignment="1">
      <alignment vertical="center"/>
    </xf>
    <xf numFmtId="0" fontId="3" fillId="3" borderId="2" xfId="0" applyFont="1" applyFill="1" applyBorder="1"/>
    <xf numFmtId="0" fontId="13" fillId="3" borderId="3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right" wrapText="1"/>
    </xf>
    <xf numFmtId="3" fontId="4" fillId="3" borderId="7" xfId="0" applyNumberFormat="1" applyFont="1" applyFill="1" applyBorder="1" applyAlignment="1">
      <alignment wrapText="1"/>
    </xf>
    <xf numFmtId="3" fontId="11" fillId="3" borderId="7" xfId="0" applyNumberFormat="1" applyFont="1" applyFill="1" applyBorder="1" applyAlignment="1">
      <alignment wrapText="1"/>
    </xf>
    <xf numFmtId="0" fontId="3" fillId="3" borderId="6" xfId="0" applyFont="1" applyFill="1" applyBorder="1" applyAlignment="1">
      <alignment horizontal="left" wrapText="1"/>
    </xf>
    <xf numFmtId="2" fontId="2" fillId="3" borderId="6" xfId="0" applyNumberFormat="1" applyFont="1" applyFill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vertical="center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8" fillId="2" borderId="16" xfId="0" applyFont="1" applyFill="1" applyBorder="1" applyAlignment="1">
      <alignment vertical="center"/>
    </xf>
    <xf numFmtId="0" fontId="9" fillId="2" borderId="16" xfId="0" applyFont="1" applyFill="1" applyBorder="1"/>
    <xf numFmtId="0" fontId="3" fillId="2" borderId="17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165" fontId="4" fillId="2" borderId="7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/>
    </xf>
    <xf numFmtId="0" fontId="3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 indent="1"/>
    </xf>
    <xf numFmtId="174" fontId="4" fillId="2" borderId="7" xfId="0" applyNumberFormat="1" applyFont="1" applyFill="1" applyBorder="1" applyAlignment="1">
      <alignment horizontal="right" vertical="center"/>
    </xf>
    <xf numFmtId="175" fontId="4" fillId="2" borderId="7" xfId="0" applyNumberFormat="1" applyFont="1" applyFill="1" applyBorder="1" applyAlignment="1">
      <alignment horizontal="right" vertical="center"/>
    </xf>
    <xf numFmtId="176" fontId="4" fillId="2" borderId="7" xfId="0" applyNumberFormat="1" applyFont="1" applyFill="1" applyBorder="1" applyAlignment="1">
      <alignment horizontal="right" vertical="center"/>
    </xf>
    <xf numFmtId="2" fontId="4" fillId="2" borderId="7" xfId="2" applyNumberFormat="1" applyFont="1" applyFill="1" applyBorder="1" applyAlignment="1">
      <alignment horizontal="right" vertical="center"/>
    </xf>
    <xf numFmtId="2" fontId="4" fillId="2" borderId="7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/>
    </xf>
    <xf numFmtId="0" fontId="2" fillId="3" borderId="6" xfId="0" applyFont="1" applyFill="1" applyBorder="1" applyAlignment="1">
      <alignment horizontal="left" indent="1"/>
    </xf>
    <xf numFmtId="0" fontId="2" fillId="3" borderId="0" xfId="0" applyFont="1" applyFill="1" applyAlignment="1">
      <alignment horizontal="left" indent="1"/>
    </xf>
    <xf numFmtId="0" fontId="3" fillId="3" borderId="6" xfId="4" applyFont="1" applyFill="1" applyBorder="1" applyAlignment="1">
      <alignment vertical="center"/>
    </xf>
    <xf numFmtId="0" fontId="2" fillId="3" borderId="6" xfId="0" applyFont="1" applyFill="1" applyBorder="1" applyAlignment="1">
      <alignment horizontal="left" vertical="center" indent="2"/>
    </xf>
    <xf numFmtId="165" fontId="4" fillId="3" borderId="7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indent="2"/>
    </xf>
    <xf numFmtId="0" fontId="3" fillId="3" borderId="12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right"/>
    </xf>
    <xf numFmtId="2" fontId="3" fillId="3" borderId="7" xfId="0" applyNumberFormat="1" applyFont="1" applyFill="1" applyBorder="1" applyAlignment="1">
      <alignment horizontal="right"/>
    </xf>
    <xf numFmtId="0" fontId="2" fillId="3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right" vertical="center" wrapText="1"/>
    </xf>
    <xf numFmtId="0" fontId="11" fillId="2" borderId="12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/>
    </xf>
    <xf numFmtId="0" fontId="9" fillId="2" borderId="6" xfId="0" applyFont="1" applyFill="1" applyBorder="1"/>
    <xf numFmtId="0" fontId="9" fillId="2" borderId="7" xfId="0" applyFont="1" applyFill="1" applyBorder="1" applyAlignment="1">
      <alignment wrapText="1"/>
    </xf>
    <xf numFmtId="0" fontId="2" fillId="2" borderId="12" xfId="0" applyFont="1" applyFill="1" applyBorder="1" applyAlignment="1">
      <alignment vertical="center"/>
    </xf>
    <xf numFmtId="171" fontId="11" fillId="2" borderId="12" xfId="0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171" fontId="11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4" fillId="2" borderId="7" xfId="0" applyNumberFormat="1" applyFont="1" applyFill="1" applyBorder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3" fontId="4" fillId="2" borderId="0" xfId="1" applyNumberFormat="1" applyFont="1" applyFill="1" applyBorder="1" applyAlignment="1" applyProtection="1">
      <alignment horizontal="right" vertical="center"/>
    </xf>
    <xf numFmtId="0" fontId="3" fillId="3" borderId="2" xfId="0" applyFont="1" applyFill="1" applyBorder="1" applyAlignment="1" applyProtection="1">
      <alignment horizontal="left" vertical="center"/>
      <protection locked="0"/>
    </xf>
    <xf numFmtId="0" fontId="3" fillId="3" borderId="2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 vertical="center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9" fillId="3" borderId="6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vertical="center"/>
    </xf>
    <xf numFmtId="0" fontId="15" fillId="3" borderId="7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2" fillId="3" borderId="18" xfId="0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vertical="center"/>
    </xf>
    <xf numFmtId="177" fontId="4" fillId="2" borderId="0" xfId="1" applyNumberFormat="1" applyFont="1" applyFill="1" applyBorder="1" applyAlignment="1">
      <alignment horizontal="right" vertical="center"/>
    </xf>
    <xf numFmtId="0" fontId="2" fillId="2" borderId="12" xfId="0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left" vertical="center"/>
      <protection locked="0"/>
    </xf>
    <xf numFmtId="177" fontId="3" fillId="2" borderId="12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13" fillId="2" borderId="12" xfId="0" applyFont="1" applyFill="1" applyBorder="1" applyAlignment="1">
      <alignment vertical="center"/>
    </xf>
    <xf numFmtId="177" fontId="13" fillId="2" borderId="12" xfId="0" applyNumberFormat="1" applyFont="1" applyFill="1" applyBorder="1" applyAlignment="1">
      <alignment vertical="center"/>
    </xf>
    <xf numFmtId="0" fontId="4" fillId="3" borderId="0" xfId="0" applyFont="1" applyFill="1" applyAlignment="1">
      <alignment horizontal="left"/>
    </xf>
    <xf numFmtId="177" fontId="4" fillId="3" borderId="7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/>
    </xf>
    <xf numFmtId="176" fontId="11" fillId="2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vertical="center" wrapText="1"/>
    </xf>
    <xf numFmtId="177" fontId="4" fillId="2" borderId="7" xfId="0" applyNumberFormat="1" applyFont="1" applyFill="1" applyBorder="1" applyAlignment="1">
      <alignment vertical="center" wrapText="1"/>
    </xf>
    <xf numFmtId="174" fontId="11" fillId="2" borderId="7" xfId="0" applyNumberFormat="1" applyFont="1" applyFill="1" applyBorder="1" applyAlignment="1">
      <alignment horizontal="right" vertical="center" wrapText="1"/>
    </xf>
    <xf numFmtId="165" fontId="11" fillId="2" borderId="7" xfId="0" applyNumberFormat="1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left" vertical="center"/>
    </xf>
    <xf numFmtId="176" fontId="11" fillId="2" borderId="6" xfId="0" applyNumberFormat="1" applyFont="1" applyFill="1" applyBorder="1" applyAlignment="1">
      <alignment horizontal="right" vertical="center" wrapText="1"/>
    </xf>
    <xf numFmtId="178" fontId="4" fillId="2" borderId="7" xfId="0" applyNumberFormat="1" applyFont="1" applyFill="1" applyBorder="1" applyAlignment="1">
      <alignment horizontal="right" vertical="center"/>
    </xf>
    <xf numFmtId="176" fontId="11" fillId="2" borderId="7" xfId="0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 applyAlignment="1" applyProtection="1">
      <alignment vertical="center" wrapText="1"/>
      <protection locked="0"/>
    </xf>
    <xf numFmtId="0" fontId="4" fillId="2" borderId="19" xfId="0" applyFont="1" applyFill="1" applyBorder="1" applyAlignment="1">
      <alignment horizontal="right"/>
    </xf>
    <xf numFmtId="3" fontId="6" fillId="3" borderId="7" xfId="0" applyNumberFormat="1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right" vertical="center"/>
    </xf>
    <xf numFmtId="0" fontId="11" fillId="2" borderId="12" xfId="0" applyFont="1" applyFill="1" applyBorder="1" applyAlignment="1">
      <alignment horizontal="right" vertical="center"/>
    </xf>
    <xf numFmtId="0" fontId="3" fillId="2" borderId="6" xfId="0" applyFont="1" applyFill="1" applyBorder="1" applyProtection="1">
      <protection locked="0"/>
    </xf>
    <xf numFmtId="0" fontId="9" fillId="2" borderId="7" xfId="0" applyFont="1" applyFill="1" applyBorder="1"/>
    <xf numFmtId="0" fontId="11" fillId="2" borderId="0" xfId="0" applyFont="1" applyFill="1" applyAlignment="1">
      <alignment horizontal="right" vertical="center"/>
    </xf>
    <xf numFmtId="0" fontId="15" fillId="3" borderId="7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4" fillId="3" borderId="0" xfId="0" applyFont="1" applyFill="1" applyAlignment="1">
      <alignment horizontal="right" vertical="center"/>
    </xf>
    <xf numFmtId="174" fontId="11" fillId="2" borderId="7" xfId="0" applyNumberFormat="1" applyFont="1" applyFill="1" applyBorder="1" applyAlignment="1">
      <alignment horizontal="right" vertical="center"/>
    </xf>
    <xf numFmtId="177" fontId="4" fillId="2" borderId="7" xfId="0" applyNumberFormat="1" applyFont="1" applyFill="1" applyBorder="1" applyAlignment="1">
      <alignment horizontal="right" vertical="center"/>
    </xf>
    <xf numFmtId="165" fontId="11" fillId="2" borderId="7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0" fontId="2" fillId="2" borderId="20" xfId="0" applyFont="1" applyFill="1" applyBorder="1" applyAlignment="1" applyProtection="1">
      <alignment horizontal="left" vertical="center"/>
      <protection locked="0"/>
    </xf>
    <xf numFmtId="0" fontId="16" fillId="3" borderId="7" xfId="0" applyFont="1" applyFill="1" applyBorder="1" applyAlignment="1">
      <alignment vertical="center"/>
    </xf>
    <xf numFmtId="3" fontId="4" fillId="3" borderId="7" xfId="0" applyNumberFormat="1" applyFont="1" applyFill="1" applyBorder="1" applyAlignment="1">
      <alignment horizontal="right" vertical="center"/>
    </xf>
    <xf numFmtId="3" fontId="11" fillId="3" borderId="7" xfId="0" applyNumberFormat="1" applyFont="1" applyFill="1" applyBorder="1" applyAlignment="1">
      <alignment horizontal="right" vertical="center"/>
    </xf>
    <xf numFmtId="0" fontId="2" fillId="3" borderId="14" xfId="0" applyFont="1" applyFill="1" applyBorder="1" applyAlignment="1">
      <alignment vertical="center"/>
    </xf>
    <xf numFmtId="0" fontId="4" fillId="3" borderId="21" xfId="0" applyFont="1" applyFill="1" applyBorder="1" applyAlignment="1">
      <alignment horizontal="right" vertical="center"/>
    </xf>
    <xf numFmtId="0" fontId="15" fillId="2" borderId="7" xfId="0" applyFont="1" applyFill="1" applyBorder="1" applyAlignment="1">
      <alignment vertical="center"/>
    </xf>
    <xf numFmtId="0" fontId="2" fillId="2" borderId="6" xfId="0" applyFont="1" applyFill="1" applyBorder="1" applyAlignment="1">
      <alignment vertical="top"/>
    </xf>
    <xf numFmtId="166" fontId="4" fillId="2" borderId="7" xfId="0" applyNumberFormat="1" applyFont="1" applyFill="1" applyBorder="1" applyAlignment="1">
      <alignment horizontal="right" vertical="center"/>
    </xf>
    <xf numFmtId="166" fontId="11" fillId="2" borderId="7" xfId="0" applyNumberFormat="1" applyFont="1" applyFill="1" applyBorder="1" applyAlignment="1">
      <alignment horizontal="right" vertical="center"/>
    </xf>
    <xf numFmtId="0" fontId="18" fillId="2" borderId="6" xfId="0" applyFont="1" applyFill="1" applyBorder="1" applyAlignment="1">
      <alignment vertical="center"/>
    </xf>
    <xf numFmtId="166" fontId="11" fillId="2" borderId="9" xfId="0" applyNumberFormat="1" applyFont="1" applyFill="1" applyBorder="1" applyAlignment="1">
      <alignment horizontal="right" vertical="center"/>
    </xf>
    <xf numFmtId="166" fontId="4" fillId="2" borderId="10" xfId="0" applyNumberFormat="1" applyFont="1" applyFill="1" applyBorder="1" applyAlignment="1">
      <alignment horizontal="right" vertical="center"/>
    </xf>
    <xf numFmtId="166" fontId="11" fillId="2" borderId="5" xfId="0" applyNumberFormat="1" applyFont="1" applyFill="1" applyBorder="1" applyAlignment="1">
      <alignment horizontal="right" vertical="center"/>
    </xf>
    <xf numFmtId="167" fontId="11" fillId="2" borderId="7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 applyProtection="1">
      <alignment horizontal="left"/>
      <protection locked="0"/>
    </xf>
    <xf numFmtId="167" fontId="4" fillId="2" borderId="7" xfId="0" applyNumberFormat="1" applyFont="1" applyFill="1" applyBorder="1" applyAlignment="1">
      <alignment horizontal="right" vertical="center"/>
    </xf>
    <xf numFmtId="0" fontId="18" fillId="2" borderId="6" xfId="0" applyFont="1" applyFill="1" applyBorder="1" applyAlignment="1" applyProtection="1">
      <alignment horizontal="left"/>
      <protection locked="0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left" indent="1"/>
    </xf>
    <xf numFmtId="0" fontId="2" fillId="2" borderId="22" xfId="0" applyFont="1" applyFill="1" applyBorder="1"/>
    <xf numFmtId="0" fontId="4" fillId="2" borderId="19" xfId="0" applyFont="1" applyFill="1" applyBorder="1" applyAlignment="1">
      <alignment horizontal="right" vertical="center"/>
    </xf>
    <xf numFmtId="165" fontId="17" fillId="3" borderId="3" xfId="0" applyNumberFormat="1" applyFont="1" applyFill="1" applyBorder="1" applyAlignment="1">
      <alignment horizontal="right" wrapText="1"/>
    </xf>
    <xf numFmtId="178" fontId="11" fillId="2" borderId="7" xfId="0" applyNumberFormat="1" applyFont="1" applyFill="1" applyBorder="1" applyAlignment="1">
      <alignment horizontal="right" vertical="center"/>
    </xf>
    <xf numFmtId="178" fontId="4" fillId="2" borderId="7" xfId="0" applyNumberFormat="1" applyFont="1" applyFill="1" applyBorder="1" applyAlignment="1">
      <alignment horizontal="right" vertical="center" wrapText="1"/>
    </xf>
    <xf numFmtId="0" fontId="2" fillId="2" borderId="0" xfId="0" applyFont="1" applyFill="1" applyAlignment="1" applyProtection="1">
      <alignment vertical="center"/>
      <protection locked="0"/>
    </xf>
    <xf numFmtId="0" fontId="19" fillId="3" borderId="0" xfId="0" applyFont="1" applyFill="1"/>
    <xf numFmtId="164" fontId="19" fillId="3" borderId="0" xfId="0" applyNumberFormat="1" applyFont="1" applyFill="1"/>
    <xf numFmtId="178" fontId="4" fillId="3" borderId="7" xfId="0" applyNumberFormat="1" applyFont="1" applyFill="1" applyBorder="1" applyAlignment="1">
      <alignment horizontal="right" vertical="center"/>
    </xf>
    <xf numFmtId="178" fontId="11" fillId="3" borderId="7" xfId="0" applyNumberFormat="1" applyFont="1" applyFill="1" applyBorder="1" applyAlignment="1">
      <alignment horizontal="right" vertical="center"/>
    </xf>
    <xf numFmtId="0" fontId="2" fillId="3" borderId="6" xfId="0" applyFont="1" applyFill="1" applyBorder="1" applyAlignment="1" applyProtection="1">
      <alignment vertical="center"/>
      <protection locked="0"/>
    </xf>
    <xf numFmtId="178" fontId="4" fillId="3" borderId="7" xfId="0" applyNumberFormat="1" applyFont="1" applyFill="1" applyBorder="1" applyAlignment="1">
      <alignment horizontal="right" vertical="center" wrapText="1"/>
    </xf>
    <xf numFmtId="0" fontId="20" fillId="0" borderId="0" xfId="0" applyFont="1"/>
    <xf numFmtId="0" fontId="0" fillId="3" borderId="23" xfId="0" applyFill="1" applyBorder="1"/>
    <xf numFmtId="0" fontId="0" fillId="3" borderId="24" xfId="0" applyFill="1" applyBorder="1"/>
    <xf numFmtId="0" fontId="0" fillId="3" borderId="28" xfId="0" applyFill="1" applyBorder="1"/>
    <xf numFmtId="0" fontId="0" fillId="3" borderId="1" xfId="0" applyFill="1" applyBorder="1"/>
    <xf numFmtId="0" fontId="0" fillId="3" borderId="29" xfId="0" applyFill="1" applyBorder="1"/>
    <xf numFmtId="0" fontId="22" fillId="3" borderId="0" xfId="5" applyFont="1" applyFill="1" applyBorder="1"/>
    <xf numFmtId="0" fontId="23" fillId="3" borderId="0" xfId="0" applyFont="1" applyFill="1"/>
    <xf numFmtId="0" fontId="24" fillId="3" borderId="0" xfId="0" applyFont="1" applyFill="1"/>
    <xf numFmtId="0" fontId="4" fillId="3" borderId="23" xfId="0" applyFont="1" applyFill="1" applyBorder="1" applyAlignment="1">
      <alignment wrapText="1"/>
    </xf>
    <xf numFmtId="0" fontId="4" fillId="3" borderId="0" xfId="0" applyFont="1" applyFill="1" applyAlignment="1">
      <alignment wrapText="1"/>
    </xf>
    <xf numFmtId="0" fontId="4" fillId="3" borderId="24" xfId="0" applyFont="1" applyFill="1" applyBorder="1" applyAlignment="1">
      <alignment wrapText="1"/>
    </xf>
    <xf numFmtId="0" fontId="25" fillId="3" borderId="25" xfId="0" applyFont="1" applyFill="1" applyBorder="1" applyAlignment="1">
      <alignment horizontal="left" vertical="center" wrapText="1"/>
    </xf>
    <xf numFmtId="0" fontId="25" fillId="3" borderId="26" xfId="0" applyFont="1" applyFill="1" applyBorder="1" applyAlignment="1">
      <alignment horizontal="left" vertical="center" wrapText="1"/>
    </xf>
    <xf numFmtId="0" fontId="25" fillId="3" borderId="27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3" borderId="1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left" vertical="center"/>
    </xf>
    <xf numFmtId="0" fontId="12" fillId="3" borderId="1" xfId="0" applyFont="1" applyFill="1" applyBorder="1"/>
    <xf numFmtId="0" fontId="9" fillId="3" borderId="1" xfId="0" applyFont="1" applyFill="1" applyBorder="1"/>
    <xf numFmtId="0" fontId="5" fillId="2" borderId="0" xfId="0" applyFont="1" applyFill="1" applyAlignment="1">
      <alignment vertical="top" wrapText="1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/>
    <xf numFmtId="0" fontId="6" fillId="2" borderId="1" xfId="0" applyFont="1" applyFill="1" applyBorder="1" applyAlignment="1">
      <alignment vertical="top" wrapText="1"/>
    </xf>
  </cellXfs>
  <cellStyles count="6">
    <cellStyle name="Comma" xfId="1" builtinId="3"/>
    <cellStyle name="Hyperlink" xfId="5" builtinId="8"/>
    <cellStyle name="Normal" xfId="0" builtinId="0"/>
    <cellStyle name="Normal 3" xfId="3" xr:uid="{E3966B2C-0951-47ED-82AC-64D234874EFE}"/>
    <cellStyle name="Normal_Petroleum Outlook Table" xfId="4" xr:uid="{08580E8C-548D-4C63-AE12-A3D830B096F5}"/>
    <cellStyle name="Percent" xfId="2" builtinId="5"/>
  </cellStyles>
  <dxfs count="145"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3" formatCode="#,##0"/>
    </dxf>
    <dxf>
      <numFmt numFmtId="164" formatCode="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3" formatCode="#,##0"/>
    </dxf>
    <dxf>
      <numFmt numFmtId="164" formatCode="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3" formatCode="#,##0"/>
    </dxf>
    <dxf>
      <numFmt numFmtId="164" formatCode="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3" formatCode="#,##0"/>
    </dxf>
    <dxf>
      <numFmt numFmtId="164" formatCode="0.0"/>
    </dxf>
    <dxf>
      <numFmt numFmtId="164" formatCode="0.0"/>
    </dxf>
    <dxf>
      <numFmt numFmtId="3" formatCode="#,##0"/>
    </dxf>
    <dxf>
      <numFmt numFmtId="5" formatCode="#,##0;\-#,##0"/>
    </dxf>
    <dxf>
      <numFmt numFmtId="179" formatCode="0.0;\-0.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179" formatCode="0.0;\-0.0"/>
    </dxf>
    <dxf>
      <numFmt numFmtId="5" formatCode="#,##0;\-#,##0"/>
    </dxf>
    <dxf>
      <numFmt numFmtId="5" formatCode="#,##0;\-#,##0"/>
    </dxf>
    <dxf>
      <numFmt numFmtId="5" formatCode="#,##0;\-#,##0"/>
    </dxf>
    <dxf>
      <numFmt numFmtId="179" formatCode="0.0;\-0.0"/>
    </dxf>
    <dxf>
      <numFmt numFmtId="179" formatCode="0.0;\-0.0"/>
    </dxf>
    <dxf>
      <numFmt numFmtId="5" formatCode="#,##0;\-#,##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5" formatCode="#,##0;\-#,##0"/>
    </dxf>
    <dxf>
      <numFmt numFmtId="179" formatCode="0.0;\-0.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180" formatCode="#,##0;\–#,##0"/>
    </dxf>
    <dxf>
      <numFmt numFmtId="169" formatCode="0.0;\–0.0"/>
    </dxf>
    <dxf>
      <numFmt numFmtId="180" formatCode="#,##0;\–#,##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3" formatCode="#,##0"/>
    </dxf>
    <dxf>
      <numFmt numFmtId="164" formatCode="0.0"/>
    </dxf>
    <dxf>
      <numFmt numFmtId="179" formatCode="0.0;\-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64" formatCode="0.0"/>
    </dxf>
    <dxf>
      <numFmt numFmtId="5" formatCode="#,##0;\-#,##0"/>
    </dxf>
    <dxf>
      <numFmt numFmtId="179" formatCode="0.0;\-0.0"/>
    </dxf>
    <dxf>
      <numFmt numFmtId="5" formatCode="#,##0;\-#,##0"/>
    </dxf>
    <dxf>
      <numFmt numFmtId="179" formatCode="0.0;\-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12700</xdr:rowOff>
    </xdr:from>
    <xdr:to>
      <xdr:col>4</xdr:col>
      <xdr:colOff>347980</xdr:colOff>
      <xdr:row>5</xdr:row>
      <xdr:rowOff>84328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7CFCEB-2248-99AA-AB6A-99EDD623C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279400"/>
          <a:ext cx="2430780" cy="833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2014220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8E6B3D-1D8C-40E8-44C0-A3FDCE6A0B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2014220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42BDEF-81A7-0FA3-168C-B50C5D346C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2014220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6CCDD-129F-A078-753C-8F4989E9BE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213995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CCCB1A-6061-F41A-5248-1E39E50B72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42545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ED136F-A083-A058-B1DB-34DB327FA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366395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979A2-F952-3E76-F9C4-A94DDE476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2014220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FE7373-DE1A-7834-BF43-2070B7E83A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252095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C10A0E-07C7-B2FE-29F0-E423E8368E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347345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61D3E8-8719-205E-F187-63B59648C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309245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F84D22-B0F0-85F6-E051-BEBA9156CD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385445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745C4-1C8B-02D9-41B2-41A442F6F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461645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2A788-2E3E-A71C-53C1-F7674622EB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33020</xdr:colOff>
      <xdr:row>4</xdr:row>
      <xdr:rowOff>182880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F7CF35-DB36-B3CA-F7A4-4E329BA34D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2014220" cy="754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8F94B-3DF2-421B-B861-0AE937FF7CCE}">
  <sheetPr>
    <pageSetUpPr fitToPage="1"/>
  </sheetPr>
  <dimension ref="B1:O24"/>
  <sheetViews>
    <sheetView tabSelected="1" workbookViewId="0"/>
  </sheetViews>
  <sheetFormatPr defaultRowHeight="15" x14ac:dyDescent="0.25"/>
  <cols>
    <col min="4" max="4" width="13.140625" customWidth="1"/>
  </cols>
  <sheetData>
    <row r="1" spans="2:15" ht="21" x14ac:dyDescent="0.35">
      <c r="B1" s="239" t="s">
        <v>231</v>
      </c>
    </row>
    <row r="2" spans="2:15" x14ac:dyDescent="0.25">
      <c r="B2" s="242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4"/>
    </row>
    <row r="3" spans="2:15" x14ac:dyDescent="0.25">
      <c r="B3" s="24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241"/>
    </row>
    <row r="4" spans="2:15" x14ac:dyDescent="0.25">
      <c r="B4" s="24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241"/>
    </row>
    <row r="5" spans="2:15" x14ac:dyDescent="0.25">
      <c r="B5" s="24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41"/>
    </row>
    <row r="6" spans="2:15" x14ac:dyDescent="0.25">
      <c r="B6" s="24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41"/>
    </row>
    <row r="7" spans="2:15" ht="18" x14ac:dyDescent="0.25">
      <c r="B7" s="240"/>
      <c r="C7" s="246" t="s">
        <v>232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41"/>
    </row>
    <row r="8" spans="2:15" x14ac:dyDescent="0.25">
      <c r="B8" s="24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241"/>
    </row>
    <row r="9" spans="2:15" x14ac:dyDescent="0.25">
      <c r="B9" s="240"/>
      <c r="C9" s="245" t="s">
        <v>211</v>
      </c>
      <c r="D9" s="10"/>
      <c r="E9" s="247" t="s">
        <v>97</v>
      </c>
      <c r="F9" s="10"/>
      <c r="G9" s="10"/>
      <c r="H9" s="10"/>
      <c r="I9" s="10"/>
      <c r="J9" s="10"/>
      <c r="K9" s="10"/>
      <c r="L9" s="10"/>
      <c r="M9" s="10"/>
      <c r="N9" s="10"/>
      <c r="O9" s="241"/>
    </row>
    <row r="10" spans="2:15" x14ac:dyDescent="0.25">
      <c r="B10" s="240"/>
      <c r="C10" s="245" t="s">
        <v>213</v>
      </c>
      <c r="D10" s="10"/>
      <c r="E10" s="247" t="s">
        <v>142</v>
      </c>
      <c r="F10" s="10"/>
      <c r="G10" s="10"/>
      <c r="H10" s="10"/>
      <c r="I10" s="10"/>
      <c r="J10" s="10"/>
      <c r="K10" s="10"/>
      <c r="L10" s="10"/>
      <c r="M10" s="10"/>
      <c r="N10" s="10"/>
      <c r="O10" s="241"/>
    </row>
    <row r="11" spans="2:15" x14ac:dyDescent="0.25">
      <c r="B11" s="240"/>
      <c r="C11" s="245" t="s">
        <v>207</v>
      </c>
      <c r="D11" s="10"/>
      <c r="E11" s="247" t="s"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241"/>
    </row>
    <row r="12" spans="2:15" x14ac:dyDescent="0.25">
      <c r="B12" s="240"/>
      <c r="C12" s="245" t="s">
        <v>208</v>
      </c>
      <c r="D12" s="10"/>
      <c r="E12" s="247" t="s">
        <v>24</v>
      </c>
      <c r="F12" s="10"/>
      <c r="G12" s="10"/>
      <c r="H12" s="10"/>
      <c r="I12" s="10"/>
      <c r="J12" s="10"/>
      <c r="K12" s="10"/>
      <c r="L12" s="10"/>
      <c r="M12" s="10"/>
      <c r="N12" s="10"/>
      <c r="O12" s="241"/>
    </row>
    <row r="13" spans="2:15" x14ac:dyDescent="0.25">
      <c r="B13" s="240"/>
      <c r="C13" s="245" t="s">
        <v>51</v>
      </c>
      <c r="D13" s="10"/>
      <c r="E13" s="247" t="s">
        <v>50</v>
      </c>
      <c r="F13" s="10"/>
      <c r="G13" s="10"/>
      <c r="H13" s="10"/>
      <c r="I13" s="10"/>
      <c r="J13" s="10"/>
      <c r="K13" s="10"/>
      <c r="L13" s="10"/>
      <c r="M13" s="10"/>
      <c r="N13" s="10"/>
      <c r="O13" s="241"/>
    </row>
    <row r="14" spans="2:15" x14ac:dyDescent="0.25">
      <c r="B14" s="240"/>
      <c r="C14" s="245" t="s">
        <v>209</v>
      </c>
      <c r="D14" s="10"/>
      <c r="E14" s="247" t="s">
        <v>63</v>
      </c>
      <c r="F14" s="10"/>
      <c r="G14" s="10"/>
      <c r="H14" s="10"/>
      <c r="I14" s="10"/>
      <c r="J14" s="10"/>
      <c r="K14" s="10"/>
      <c r="L14" s="10"/>
      <c r="M14" s="10"/>
      <c r="N14" s="10"/>
      <c r="O14" s="241"/>
    </row>
    <row r="15" spans="2:15" x14ac:dyDescent="0.25">
      <c r="B15" s="240"/>
      <c r="C15" s="245" t="s">
        <v>210</v>
      </c>
      <c r="D15" s="10"/>
      <c r="E15" s="247" t="s">
        <v>79</v>
      </c>
      <c r="F15" s="10"/>
      <c r="G15" s="10"/>
      <c r="H15" s="10"/>
      <c r="I15" s="10"/>
      <c r="J15" s="10"/>
      <c r="K15" s="10"/>
      <c r="L15" s="10"/>
      <c r="M15" s="10"/>
      <c r="N15" s="10"/>
      <c r="O15" s="241"/>
    </row>
    <row r="16" spans="2:15" x14ac:dyDescent="0.25">
      <c r="B16" s="240"/>
      <c r="C16" s="245" t="s">
        <v>212</v>
      </c>
      <c r="D16" s="10"/>
      <c r="E16" s="247" t="s">
        <v>119</v>
      </c>
      <c r="F16" s="10"/>
      <c r="G16" s="10"/>
      <c r="H16" s="10"/>
      <c r="I16" s="10"/>
      <c r="J16" s="10"/>
      <c r="K16" s="10"/>
      <c r="L16" s="10"/>
      <c r="M16" s="10"/>
      <c r="N16" s="10"/>
      <c r="O16" s="241"/>
    </row>
    <row r="17" spans="2:15" x14ac:dyDescent="0.25">
      <c r="B17" s="240"/>
      <c r="C17" s="245" t="s">
        <v>214</v>
      </c>
      <c r="D17" s="10"/>
      <c r="E17" s="247" t="s">
        <v>156</v>
      </c>
      <c r="F17" s="10"/>
      <c r="G17" s="10"/>
      <c r="H17" s="10"/>
      <c r="I17" s="10"/>
      <c r="J17" s="10"/>
      <c r="K17" s="10"/>
      <c r="L17" s="10"/>
      <c r="M17" s="10"/>
      <c r="N17" s="10"/>
      <c r="O17" s="241"/>
    </row>
    <row r="18" spans="2:15" x14ac:dyDescent="0.25">
      <c r="B18" s="240"/>
      <c r="C18" s="245" t="s">
        <v>215</v>
      </c>
      <c r="D18" s="10"/>
      <c r="E18" s="247" t="s">
        <v>162</v>
      </c>
      <c r="F18" s="10"/>
      <c r="G18" s="10"/>
      <c r="H18" s="10"/>
      <c r="I18" s="10"/>
      <c r="J18" s="10"/>
      <c r="K18" s="10"/>
      <c r="L18" s="10"/>
      <c r="M18" s="10"/>
      <c r="N18" s="10"/>
      <c r="O18" s="241"/>
    </row>
    <row r="19" spans="2:15" x14ac:dyDescent="0.25">
      <c r="B19" s="240"/>
      <c r="C19" s="245" t="s">
        <v>216</v>
      </c>
      <c r="D19" s="10"/>
      <c r="E19" s="247" t="s">
        <v>173</v>
      </c>
      <c r="F19" s="10"/>
      <c r="G19" s="10"/>
      <c r="H19" s="10"/>
      <c r="I19" s="10"/>
      <c r="J19" s="10"/>
      <c r="K19" s="10"/>
      <c r="L19" s="10"/>
      <c r="M19" s="10"/>
      <c r="N19" s="10"/>
      <c r="O19" s="241"/>
    </row>
    <row r="20" spans="2:15" x14ac:dyDescent="0.25">
      <c r="B20" s="240"/>
      <c r="C20" s="245" t="s">
        <v>217</v>
      </c>
      <c r="D20" s="10"/>
      <c r="E20" s="247" t="s">
        <v>178</v>
      </c>
      <c r="F20" s="10"/>
      <c r="G20" s="10"/>
      <c r="H20" s="10"/>
      <c r="I20" s="10"/>
      <c r="J20" s="10"/>
      <c r="K20" s="10"/>
      <c r="L20" s="10"/>
      <c r="M20" s="10"/>
      <c r="N20" s="10"/>
      <c r="O20" s="241"/>
    </row>
    <row r="21" spans="2:15" x14ac:dyDescent="0.25">
      <c r="B21" s="240"/>
      <c r="C21" s="245" t="s">
        <v>201</v>
      </c>
      <c r="D21" s="10"/>
      <c r="E21" s="247" t="s">
        <v>184</v>
      </c>
      <c r="F21" s="10"/>
      <c r="G21" s="10"/>
      <c r="H21" s="10"/>
      <c r="I21" s="10"/>
      <c r="J21" s="10"/>
      <c r="K21" s="10"/>
      <c r="L21" s="10"/>
      <c r="M21" s="10"/>
      <c r="N21" s="10"/>
      <c r="O21" s="241"/>
    </row>
    <row r="22" spans="2:15" x14ac:dyDescent="0.25">
      <c r="B22" s="24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241"/>
    </row>
    <row r="23" spans="2:15" ht="68.099999999999994" customHeight="1" x14ac:dyDescent="0.25">
      <c r="B23" s="248" t="s">
        <v>218</v>
      </c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50"/>
    </row>
    <row r="24" spans="2:15" ht="22.5" customHeight="1" x14ac:dyDescent="0.25">
      <c r="B24" s="251" t="s">
        <v>219</v>
      </c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3"/>
    </row>
  </sheetData>
  <mergeCells count="2">
    <mergeCell ref="B23:O23"/>
    <mergeCell ref="B24:O24"/>
  </mergeCells>
  <hyperlinks>
    <hyperlink ref="C11" location="'Beef &amp; Cattle'!A1" display="Beef &amp; Cattle" xr:uid="{AC6CC515-00BC-44CA-B001-769B33D7D919}"/>
    <hyperlink ref="C12" location="'Coarse Grains'!A1" display="Coarse Grains" xr:uid="{7BF3AE2A-B1DC-406F-B4E5-1EB81AECAC36}"/>
    <hyperlink ref="C13" location="'Cotton'!A1" display="Cotton" xr:uid="{78EBB7BB-9B69-4FBF-9BE3-FE440B8619EE}"/>
    <hyperlink ref="C14" location="'Dairy'!A1" display="Dairy" xr:uid="{0B33A4BD-7B06-4932-BA8E-3CEDB41FEF6F}"/>
    <hyperlink ref="C15" location="'Fisheries'!A1" display="Fisheries" xr:uid="{048B0F7F-0EC7-462E-9412-7F994454B53C}"/>
    <hyperlink ref="C9" location="'Key Macro'!A1" display="Key Macro" xr:uid="{48B04157-637B-4CED-BE3A-59EF4E5F3399}"/>
    <hyperlink ref="C16" location="'Lamb, sheep and wool'!A1" display="Lamb, sheep and wool" xr:uid="{7DF57AB2-9FE7-4E9F-82EC-247973F9F585}"/>
    <hyperlink ref="C10" location="'Major indicators'!A1" display="Major indicators" xr:uid="{533AE360-D658-4A06-848B-384DD5328038}"/>
    <hyperlink ref="C17" location="'Oilseeds'!A1" display="Oilseeds" xr:uid="{A61ADFB5-92AC-4C58-8220-0DF4491E2F05}"/>
    <hyperlink ref="C18" location="'Pigs, poultry and eggs'!A1" display="Pigs, poultry and eggs" xr:uid="{A2EFCC5F-EA81-4148-88B4-AD1AA8D0489B}"/>
    <hyperlink ref="C19" location="'Sugar'!A1" display="Sugar" xr:uid="{E6CB7D35-E4A7-4BB4-8971-386601B657B7}"/>
    <hyperlink ref="C20" location="'Wheat'!A1" display="Wheat" xr:uid="{2356E751-6907-48AE-96B3-072A966F3592}"/>
    <hyperlink ref="C21" location="'Wine'!A1" display="Wine" xr:uid="{FDA4C538-13D8-4D77-84D1-71D1D3D89C33}"/>
  </hyperlinks>
  <pageMargins left="0.7" right="0.7" top="0.75" bottom="0.75" header="0.3" footer="0.3"/>
  <pageSetup paperSize="9" fitToHeight="0" orientation="portrait" r:id="rId1"/>
  <headerFooter>
    <oddHeader>&amp;C&amp;"Aptos"&amp;12&amp;KFF0000 OFFICIAL&amp;1#_x000D_</oddHeader>
    <oddFooter>&amp;C_x000D_&amp;1#&amp;"Aptos"&amp;12&amp;KFF0000 OFFICIAL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7BDA-CB2A-4177-8E97-CFDF6F857BC8}">
  <sheetPr>
    <pageSetUpPr fitToPage="1"/>
  </sheetPr>
  <dimension ref="B6:F35"/>
  <sheetViews>
    <sheetView workbookViewId="0"/>
  </sheetViews>
  <sheetFormatPr defaultColWidth="9.140625" defaultRowHeight="15" x14ac:dyDescent="0.25"/>
  <cols>
    <col min="1" max="1" width="9.140625" style="10"/>
    <col min="2" max="2" width="32.5703125" style="10" customWidth="1"/>
    <col min="3" max="3" width="4" style="10" bestFit="1" customWidth="1"/>
    <col min="4" max="6" width="15" style="10" customWidth="1"/>
    <col min="7" max="16384" width="9.140625" style="10"/>
  </cols>
  <sheetData>
    <row r="6" spans="2:6" ht="10.5" customHeight="1" x14ac:dyDescent="0.25">
      <c r="B6" s="9"/>
      <c r="C6" s="134"/>
      <c r="D6" s="9"/>
      <c r="E6" s="9"/>
      <c r="F6" s="9"/>
    </row>
    <row r="7" spans="2:6" ht="27" customHeight="1" x14ac:dyDescent="0.25">
      <c r="B7" s="118" t="s">
        <v>97</v>
      </c>
      <c r="C7" s="119"/>
      <c r="D7" s="119"/>
      <c r="E7" s="119"/>
      <c r="F7" s="119"/>
    </row>
    <row r="8" spans="2:6" ht="12.6" customHeight="1" x14ac:dyDescent="0.25">
      <c r="B8" s="120" t="s">
        <v>1</v>
      </c>
      <c r="C8" s="121" t="s">
        <v>2</v>
      </c>
      <c r="D8" s="122" t="s">
        <v>98</v>
      </c>
      <c r="E8" s="122" t="s">
        <v>99</v>
      </c>
      <c r="F8" s="122" t="s">
        <v>100</v>
      </c>
    </row>
    <row r="9" spans="2:6" ht="12" customHeight="1" x14ac:dyDescent="0.25">
      <c r="B9" s="33" t="s">
        <v>101</v>
      </c>
      <c r="C9" s="82"/>
      <c r="D9" s="82"/>
      <c r="E9" s="82"/>
      <c r="F9" s="82"/>
    </row>
    <row r="10" spans="2:6" ht="11.1" customHeight="1" x14ac:dyDescent="0.25">
      <c r="B10" s="123" t="s">
        <v>225</v>
      </c>
      <c r="C10" s="58" t="s">
        <v>36</v>
      </c>
      <c r="D10" s="124">
        <v>3.5</v>
      </c>
      <c r="E10" s="124">
        <v>3</v>
      </c>
      <c r="F10" s="124">
        <v>3.4</v>
      </c>
    </row>
    <row r="11" spans="2:6" ht="11.25" customHeight="1" x14ac:dyDescent="0.25">
      <c r="B11" s="125" t="s">
        <v>102</v>
      </c>
      <c r="C11" s="58" t="s">
        <v>36</v>
      </c>
      <c r="D11" s="124">
        <v>1.9</v>
      </c>
      <c r="E11" s="124">
        <v>1.7</v>
      </c>
      <c r="F11" s="124">
        <v>1.8</v>
      </c>
    </row>
    <row r="12" spans="2:6" ht="11.25" customHeight="1" x14ac:dyDescent="0.25">
      <c r="B12" s="135" t="s">
        <v>103</v>
      </c>
      <c r="C12" s="18" t="s">
        <v>36</v>
      </c>
      <c r="D12" s="124">
        <v>2.1</v>
      </c>
      <c r="E12" s="124">
        <v>2.2999999999999998</v>
      </c>
      <c r="F12" s="124">
        <v>2.2000000000000002</v>
      </c>
    </row>
    <row r="13" spans="2:6" ht="11.25" customHeight="1" x14ac:dyDescent="0.25">
      <c r="B13" s="135" t="s">
        <v>104</v>
      </c>
      <c r="C13" s="18" t="s">
        <v>36</v>
      </c>
      <c r="D13" s="124">
        <v>1.1000000000000001</v>
      </c>
      <c r="E13" s="124">
        <v>0.6</v>
      </c>
      <c r="F13" s="124">
        <v>0.7</v>
      </c>
    </row>
    <row r="14" spans="2:6" ht="11.25" customHeight="1" x14ac:dyDescent="0.25">
      <c r="B14" s="136" t="s">
        <v>105</v>
      </c>
      <c r="C14" s="18" t="s">
        <v>36</v>
      </c>
      <c r="D14" s="124">
        <v>1.4</v>
      </c>
      <c r="E14" s="124">
        <v>0.9</v>
      </c>
      <c r="F14" s="124">
        <v>1.2</v>
      </c>
    </row>
    <row r="15" spans="2:6" ht="11.1" customHeight="1" x14ac:dyDescent="0.25">
      <c r="B15" s="137" t="s">
        <v>106</v>
      </c>
      <c r="C15" s="18" t="s">
        <v>36</v>
      </c>
      <c r="D15" s="124">
        <v>4.5</v>
      </c>
      <c r="E15" s="124">
        <v>3.8</v>
      </c>
      <c r="F15" s="124">
        <v>4.5</v>
      </c>
    </row>
    <row r="16" spans="2:6" ht="11.1" customHeight="1" x14ac:dyDescent="0.25">
      <c r="B16" s="21" t="s">
        <v>107</v>
      </c>
      <c r="C16" s="18" t="s">
        <v>36</v>
      </c>
      <c r="D16" s="124">
        <v>5.6</v>
      </c>
      <c r="E16" s="124">
        <v>5</v>
      </c>
      <c r="F16" s="124">
        <v>4.8</v>
      </c>
    </row>
    <row r="17" spans="2:6" ht="11.1" customHeight="1" x14ac:dyDescent="0.25">
      <c r="B17" s="138" t="s">
        <v>233</v>
      </c>
      <c r="C17" s="18" t="s">
        <v>36</v>
      </c>
      <c r="D17" s="124">
        <v>4.5</v>
      </c>
      <c r="E17" s="124">
        <v>4.0999999999999996</v>
      </c>
      <c r="F17" s="124">
        <v>4.3</v>
      </c>
    </row>
    <row r="18" spans="2:6" ht="10.5" customHeight="1" x14ac:dyDescent="0.25">
      <c r="B18" s="138" t="s">
        <v>234</v>
      </c>
      <c r="C18" s="18" t="s">
        <v>36</v>
      </c>
      <c r="D18" s="124">
        <v>5</v>
      </c>
      <c r="E18" s="124">
        <v>4.5999999999999996</v>
      </c>
      <c r="F18" s="124">
        <v>4.0999999999999996</v>
      </c>
    </row>
    <row r="19" spans="2:6" ht="11.1" customHeight="1" x14ac:dyDescent="0.25">
      <c r="B19" s="21" t="s">
        <v>108</v>
      </c>
      <c r="C19" s="18" t="s">
        <v>36</v>
      </c>
      <c r="D19" s="124">
        <v>3.7</v>
      </c>
      <c r="E19" s="124">
        <v>0.7</v>
      </c>
      <c r="F19" s="124">
        <v>6.5</v>
      </c>
    </row>
    <row r="20" spans="2:6" ht="11.1" customHeight="1" x14ac:dyDescent="0.25">
      <c r="B20" s="126" t="s">
        <v>109</v>
      </c>
      <c r="C20" s="18"/>
      <c r="D20" s="127"/>
      <c r="E20" s="139"/>
      <c r="F20" s="139"/>
    </row>
    <row r="21" spans="2:6" ht="11.1" customHeight="1" x14ac:dyDescent="0.25">
      <c r="B21" s="117" t="s">
        <v>102</v>
      </c>
      <c r="C21" s="18" t="s">
        <v>36</v>
      </c>
      <c r="D21" s="124">
        <v>1.5760000000000001</v>
      </c>
      <c r="E21" s="124">
        <v>1.5549999999999999</v>
      </c>
      <c r="F21" s="124">
        <v>1.522</v>
      </c>
    </row>
    <row r="22" spans="2:6" ht="11.1" customHeight="1" x14ac:dyDescent="0.25">
      <c r="B22" s="117" t="s">
        <v>106</v>
      </c>
      <c r="C22" s="18" t="s">
        <v>36</v>
      </c>
      <c r="D22" s="124">
        <v>3.395</v>
      </c>
      <c r="E22" s="124">
        <v>3.4169999999999998</v>
      </c>
      <c r="F22" s="124">
        <v>3.141</v>
      </c>
    </row>
    <row r="23" spans="2:6" ht="11.1" customHeight="1" x14ac:dyDescent="0.25">
      <c r="B23" s="128" t="s">
        <v>107</v>
      </c>
      <c r="C23" s="18" t="s">
        <v>36</v>
      </c>
      <c r="D23" s="124">
        <v>5.0250000000000004</v>
      </c>
      <c r="E23" s="124">
        <v>4.4400000000000004</v>
      </c>
      <c r="F23" s="124">
        <v>4.2990000000000004</v>
      </c>
    </row>
    <row r="24" spans="2:6" ht="11.1" customHeight="1" x14ac:dyDescent="0.25">
      <c r="B24" s="140" t="s">
        <v>233</v>
      </c>
      <c r="C24" s="18" t="s">
        <v>36</v>
      </c>
      <c r="D24" s="124">
        <v>3.633</v>
      </c>
      <c r="E24" s="124">
        <v>3.1909999999999998</v>
      </c>
      <c r="F24" s="124">
        <v>3.4830000000000001</v>
      </c>
    </row>
    <row r="25" spans="2:6" ht="12" customHeight="1" x14ac:dyDescent="0.25">
      <c r="B25" s="123" t="s">
        <v>103</v>
      </c>
      <c r="C25" s="82" t="s">
        <v>110</v>
      </c>
      <c r="D25" s="82"/>
      <c r="E25" s="82"/>
      <c r="F25" s="82"/>
    </row>
    <row r="26" spans="2:6" ht="11.1" customHeight="1" x14ac:dyDescent="0.25">
      <c r="B26" s="42" t="s">
        <v>111</v>
      </c>
      <c r="C26" s="58" t="s">
        <v>36</v>
      </c>
      <c r="D26" s="129">
        <v>2.7</v>
      </c>
      <c r="E26" s="124">
        <v>3.6</v>
      </c>
      <c r="F26" s="124">
        <v>2.8</v>
      </c>
    </row>
    <row r="27" spans="2:6" ht="11.1" customHeight="1" x14ac:dyDescent="0.25">
      <c r="B27" s="116" t="s">
        <v>112</v>
      </c>
      <c r="C27" s="58"/>
      <c r="D27" s="124"/>
      <c r="E27" s="124"/>
      <c r="F27" s="124"/>
    </row>
    <row r="28" spans="2:6" ht="11.1" customHeight="1" x14ac:dyDescent="0.25">
      <c r="B28" s="117" t="s">
        <v>113</v>
      </c>
      <c r="C28" s="5" t="s">
        <v>36</v>
      </c>
      <c r="D28" s="130">
        <v>0.86199999999999999</v>
      </c>
      <c r="E28" s="124">
        <v>0.84499999999999997</v>
      </c>
      <c r="F28" s="124">
        <v>0.83299999999999996</v>
      </c>
    </row>
    <row r="29" spans="2:6" ht="11.25" customHeight="1" x14ac:dyDescent="0.25">
      <c r="B29" s="141" t="s">
        <v>7</v>
      </c>
      <c r="C29" s="142" t="s">
        <v>2</v>
      </c>
      <c r="D29" s="143" t="s">
        <v>3</v>
      </c>
      <c r="E29" s="143" t="s">
        <v>114</v>
      </c>
      <c r="F29" s="143" t="s">
        <v>115</v>
      </c>
    </row>
    <row r="30" spans="2:6" ht="13.5" customHeight="1" x14ac:dyDescent="0.25">
      <c r="B30" s="17" t="s">
        <v>101</v>
      </c>
      <c r="C30" s="25" t="s">
        <v>36</v>
      </c>
      <c r="D30" s="124">
        <v>1.3220000000000001</v>
      </c>
      <c r="E30" s="131">
        <v>2.2000000000000002</v>
      </c>
      <c r="F30" s="131">
        <v>1.5</v>
      </c>
    </row>
    <row r="31" spans="2:6" ht="11.1" customHeight="1" x14ac:dyDescent="0.25">
      <c r="B31" s="23" t="s">
        <v>112</v>
      </c>
      <c r="C31" s="5" t="s">
        <v>36</v>
      </c>
      <c r="D31" s="124">
        <v>1.532</v>
      </c>
      <c r="E31" s="132">
        <v>1.4</v>
      </c>
      <c r="F31" s="132">
        <v>1.3</v>
      </c>
    </row>
    <row r="32" spans="2:6" ht="11.1" customHeight="1" x14ac:dyDescent="0.25">
      <c r="B32" s="17" t="s">
        <v>111</v>
      </c>
      <c r="C32" s="25" t="s">
        <v>36</v>
      </c>
      <c r="D32" s="124">
        <v>2.4380000000000002</v>
      </c>
      <c r="E32" s="124">
        <v>3.722</v>
      </c>
      <c r="F32" s="124">
        <v>3.3340000000000001</v>
      </c>
    </row>
    <row r="33" spans="2:6" ht="11.1" customHeight="1" x14ac:dyDescent="0.25">
      <c r="B33" s="144" t="s">
        <v>235</v>
      </c>
      <c r="C33" s="25" t="s">
        <v>36</v>
      </c>
      <c r="D33" s="124">
        <v>5.6929999999999996</v>
      </c>
      <c r="E33" s="124">
        <v>5.2389999999999999</v>
      </c>
      <c r="F33" s="124">
        <v>5.9530000000000003</v>
      </c>
    </row>
    <row r="34" spans="2:6" ht="12" customHeight="1" x14ac:dyDescent="0.25">
      <c r="B34" s="144" t="s">
        <v>116</v>
      </c>
      <c r="C34" s="25" t="s">
        <v>117</v>
      </c>
      <c r="D34" s="133">
        <v>0.64800000000000002</v>
      </c>
      <c r="E34" s="133">
        <v>0.67900000000000005</v>
      </c>
      <c r="F34" s="133">
        <v>0.70799999999999996</v>
      </c>
    </row>
    <row r="35" spans="2:6" ht="70.5" customHeight="1" x14ac:dyDescent="0.25">
      <c r="B35" s="254" t="s">
        <v>118</v>
      </c>
      <c r="C35" s="255"/>
      <c r="D35" s="255"/>
      <c r="E35" s="255"/>
      <c r="F35" s="255"/>
    </row>
  </sheetData>
  <mergeCells count="1">
    <mergeCell ref="B35:F35"/>
  </mergeCells>
  <conditionalFormatting sqref="D10:F19 D30:F33">
    <cfRule type="notContainsBlanks" dxfId="144" priority="1">
      <formula>LEN(TRIM(D10))&gt;0</formula>
    </cfRule>
  </conditionalFormatting>
  <conditionalFormatting sqref="D21:F24">
    <cfRule type="notContainsBlanks" dxfId="143" priority="3">
      <formula>LEN(TRIM(D21))&gt;0</formula>
    </cfRule>
  </conditionalFormatting>
  <conditionalFormatting sqref="D26:F28">
    <cfRule type="notContainsBlanks" dxfId="142" priority="2">
      <formula>LEN(TRIM(D26))&gt;0</formula>
    </cfRule>
  </conditionalFormatting>
  <pageMargins left="0.7" right="0.7" top="0.75" bottom="0.75" header="0.3" footer="0.3"/>
  <pageSetup paperSize="9" scale="96" fitToHeight="0" orientation="portrait" r:id="rId1"/>
  <ignoredErrors>
    <ignoredError sqref="D8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C609-EEB1-4BF4-A5D1-2E9C7E1F1207}">
  <sheetPr>
    <pageSetUpPr fitToPage="1"/>
  </sheetPr>
  <dimension ref="B6:H34"/>
  <sheetViews>
    <sheetView workbookViewId="0"/>
  </sheetViews>
  <sheetFormatPr defaultColWidth="9.140625" defaultRowHeight="15" x14ac:dyDescent="0.25"/>
  <cols>
    <col min="1" max="1" width="9.140625" style="10"/>
    <col min="2" max="2" width="40.42578125" style="10" customWidth="1"/>
    <col min="3" max="3" width="6.85546875" style="10" customWidth="1"/>
    <col min="4" max="8" width="9.28515625" style="10" customWidth="1"/>
    <col min="9" max="16384" width="9.140625" style="10"/>
  </cols>
  <sheetData>
    <row r="6" spans="2:8" ht="10.5" customHeight="1" x14ac:dyDescent="0.25">
      <c r="B6" s="9"/>
      <c r="C6" s="9"/>
      <c r="D6" s="9"/>
      <c r="E6" s="9"/>
      <c r="F6" s="178"/>
      <c r="G6" s="178"/>
      <c r="H6" s="9"/>
    </row>
    <row r="7" spans="2:8" ht="27" customHeight="1" x14ac:dyDescent="0.25">
      <c r="B7" s="256" t="s">
        <v>142</v>
      </c>
      <c r="C7" s="256"/>
      <c r="D7" s="256"/>
      <c r="E7" s="256"/>
      <c r="F7" s="256"/>
      <c r="G7" s="256"/>
      <c r="H7" s="256"/>
    </row>
    <row r="8" spans="2:8" ht="12" customHeight="1" x14ac:dyDescent="0.25">
      <c r="B8" s="14" t="s">
        <v>1</v>
      </c>
      <c r="C8" s="15" t="s">
        <v>2</v>
      </c>
      <c r="D8" s="15" t="s">
        <v>143</v>
      </c>
      <c r="E8" s="15" t="s">
        <v>26</v>
      </c>
      <c r="F8" s="15" t="s">
        <v>4</v>
      </c>
      <c r="G8" s="15" t="s">
        <v>5</v>
      </c>
      <c r="H8" s="15" t="s">
        <v>6</v>
      </c>
    </row>
    <row r="9" spans="2:8" ht="12" customHeight="1" x14ac:dyDescent="0.25">
      <c r="B9" s="170" t="s">
        <v>221</v>
      </c>
      <c r="C9" s="170"/>
      <c r="D9" s="170"/>
      <c r="E9" s="170"/>
      <c r="F9" s="170"/>
      <c r="G9" s="170"/>
      <c r="H9" s="170"/>
    </row>
    <row r="10" spans="2:8" ht="12" customHeight="1" x14ac:dyDescent="0.25">
      <c r="B10" s="23" t="s">
        <v>144</v>
      </c>
      <c r="C10" s="25" t="s">
        <v>17</v>
      </c>
      <c r="D10" s="171">
        <v>71576.86</v>
      </c>
      <c r="E10" s="179">
        <v>75832.794999999998</v>
      </c>
      <c r="F10" s="179">
        <v>80608.892999999996</v>
      </c>
      <c r="G10" s="179">
        <v>76257.692999999999</v>
      </c>
      <c r="H10" s="179">
        <v>-5.3979999999999997</v>
      </c>
    </row>
    <row r="11" spans="2:8" ht="12" customHeight="1" x14ac:dyDescent="0.25">
      <c r="B11" s="30" t="s">
        <v>145</v>
      </c>
      <c r="C11" s="25" t="s">
        <v>17</v>
      </c>
      <c r="D11" s="179">
        <v>42090.385999999999</v>
      </c>
      <c r="E11" s="179">
        <v>41482.544999999998</v>
      </c>
      <c r="F11" s="179">
        <v>40146.493999999999</v>
      </c>
      <c r="G11" s="179">
        <v>38907.353000000003</v>
      </c>
      <c r="H11" s="179">
        <v>-3.0870000000000002</v>
      </c>
    </row>
    <row r="12" spans="2:8" ht="12" customHeight="1" x14ac:dyDescent="0.25">
      <c r="B12" s="30" t="s">
        <v>222</v>
      </c>
      <c r="C12" s="25" t="s">
        <v>17</v>
      </c>
      <c r="D12" s="179">
        <v>29486.473999999998</v>
      </c>
      <c r="E12" s="179">
        <v>34350.249000000003</v>
      </c>
      <c r="F12" s="179">
        <v>40462.398999999998</v>
      </c>
      <c r="G12" s="179">
        <v>37350.339999999997</v>
      </c>
      <c r="H12" s="179">
        <v>-7.6909999999999998</v>
      </c>
    </row>
    <row r="13" spans="2:8" ht="12" customHeight="1" x14ac:dyDescent="0.25">
      <c r="B13" s="49" t="s">
        <v>236</v>
      </c>
      <c r="C13" s="25" t="s">
        <v>17</v>
      </c>
      <c r="D13" s="179">
        <v>1427.7449999999999</v>
      </c>
      <c r="E13" s="179">
        <v>1480.1130000000001</v>
      </c>
      <c r="F13" s="179">
        <v>1647.6790000000001</v>
      </c>
      <c r="G13" s="179">
        <v>1691.6389999999999</v>
      </c>
      <c r="H13" s="179">
        <v>2.6680000000000001</v>
      </c>
    </row>
    <row r="14" spans="2:8" ht="12" customHeight="1" x14ac:dyDescent="0.25">
      <c r="B14" s="172" t="s">
        <v>146</v>
      </c>
      <c r="C14" s="25" t="s">
        <v>17</v>
      </c>
      <c r="D14" s="179">
        <v>2707.864</v>
      </c>
      <c r="E14" s="179">
        <v>2887.2710000000002</v>
      </c>
      <c r="F14" s="179">
        <v>2647.0909999999999</v>
      </c>
      <c r="G14" s="179">
        <v>2809.4560000000001</v>
      </c>
      <c r="H14" s="179">
        <v>6.1340000000000003</v>
      </c>
    </row>
    <row r="15" spans="2:8" ht="12" customHeight="1" x14ac:dyDescent="0.25">
      <c r="B15" s="173" t="s">
        <v>147</v>
      </c>
      <c r="C15" s="25" t="s">
        <v>17</v>
      </c>
      <c r="D15" s="179">
        <v>75712.468999999997</v>
      </c>
      <c r="E15" s="179">
        <v>80200.179000000004</v>
      </c>
      <c r="F15" s="179">
        <v>84903.663</v>
      </c>
      <c r="G15" s="179">
        <v>80758.786999999997</v>
      </c>
      <c r="H15" s="179">
        <v>-4.8819999999999997</v>
      </c>
    </row>
    <row r="16" spans="2:8" ht="12" customHeight="1" x14ac:dyDescent="0.25">
      <c r="B16" s="170" t="s">
        <v>223</v>
      </c>
      <c r="C16" s="170"/>
      <c r="D16" s="174"/>
      <c r="E16" s="174"/>
      <c r="F16" s="174"/>
      <c r="G16" s="174"/>
      <c r="H16" s="174"/>
    </row>
    <row r="17" spans="2:8" ht="12" customHeight="1" x14ac:dyDescent="0.25">
      <c r="B17" s="23" t="s">
        <v>148</v>
      </c>
      <c r="C17" s="25" t="s">
        <v>17</v>
      </c>
      <c r="D17" s="179">
        <v>83283.967999999993</v>
      </c>
      <c r="E17" s="179">
        <v>95074.767999999996</v>
      </c>
      <c r="F17" s="179">
        <v>104643.989</v>
      </c>
      <c r="G17" s="179">
        <v>99449.875</v>
      </c>
      <c r="H17" s="179">
        <v>-4.9640000000000004</v>
      </c>
    </row>
    <row r="18" spans="2:8" ht="12" customHeight="1" x14ac:dyDescent="0.25">
      <c r="B18" s="30" t="s">
        <v>145</v>
      </c>
      <c r="C18" s="25" t="s">
        <v>17</v>
      </c>
      <c r="D18" s="179">
        <v>48501.072999999997</v>
      </c>
      <c r="E18" s="179">
        <v>54236.574999999997</v>
      </c>
      <c r="F18" s="179">
        <v>55423.94</v>
      </c>
      <c r="G18" s="179">
        <v>51929.264999999999</v>
      </c>
      <c r="H18" s="179">
        <v>-6.3049999999999997</v>
      </c>
    </row>
    <row r="19" spans="2:8" ht="12" customHeight="1" x14ac:dyDescent="0.25">
      <c r="B19" s="30" t="s">
        <v>222</v>
      </c>
      <c r="C19" s="25" t="s">
        <v>17</v>
      </c>
      <c r="D19" s="179">
        <v>34782.894999999997</v>
      </c>
      <c r="E19" s="179">
        <v>40838.192999999999</v>
      </c>
      <c r="F19" s="179">
        <v>49220.048999999999</v>
      </c>
      <c r="G19" s="179">
        <v>47520.608999999997</v>
      </c>
      <c r="H19" s="179">
        <v>-3.4529999999999998</v>
      </c>
    </row>
    <row r="20" spans="2:8" ht="12" customHeight="1" x14ac:dyDescent="0.25">
      <c r="B20" s="180" t="s">
        <v>237</v>
      </c>
      <c r="C20" s="25" t="s">
        <v>17</v>
      </c>
      <c r="D20" s="179">
        <v>3673.22</v>
      </c>
      <c r="E20" s="179">
        <v>3720.0839999999998</v>
      </c>
      <c r="F20" s="179">
        <v>3874.2910000000002</v>
      </c>
      <c r="G20" s="179">
        <v>3916.3380000000002</v>
      </c>
      <c r="H20" s="179">
        <v>1.085</v>
      </c>
    </row>
    <row r="21" spans="2:8" ht="12" customHeight="1" x14ac:dyDescent="0.25">
      <c r="B21" s="180" t="s">
        <v>238</v>
      </c>
      <c r="C21" s="25" t="s">
        <v>17</v>
      </c>
      <c r="D21" s="179">
        <v>2327.7429999999999</v>
      </c>
      <c r="E21" s="179">
        <v>2243.2460000000001</v>
      </c>
      <c r="F21" s="179">
        <v>2128.7979999999998</v>
      </c>
      <c r="G21" s="179">
        <v>2256.9470000000001</v>
      </c>
      <c r="H21" s="179">
        <v>6.02</v>
      </c>
    </row>
    <row r="22" spans="2:8" ht="12" customHeight="1" x14ac:dyDescent="0.25">
      <c r="B22" s="173" t="s">
        <v>149</v>
      </c>
      <c r="C22" s="25" t="s">
        <v>17</v>
      </c>
      <c r="D22" s="179">
        <v>89284.932000000001</v>
      </c>
      <c r="E22" s="179">
        <v>101038.098</v>
      </c>
      <c r="F22" s="179">
        <v>110647.07799999999</v>
      </c>
      <c r="G22" s="179">
        <v>105623.16</v>
      </c>
      <c r="H22" s="179">
        <v>-4.54</v>
      </c>
    </row>
    <row r="23" spans="2:8" ht="12" customHeight="1" x14ac:dyDescent="0.25">
      <c r="B23" s="175" t="s">
        <v>239</v>
      </c>
      <c r="C23" s="25" t="s">
        <v>150</v>
      </c>
      <c r="D23" s="179">
        <v>88.06</v>
      </c>
      <c r="E23" s="179">
        <v>96.4</v>
      </c>
      <c r="F23" s="179">
        <v>100</v>
      </c>
      <c r="G23" s="179">
        <v>94.762</v>
      </c>
      <c r="H23" s="179">
        <v>-5.2380000000000004</v>
      </c>
    </row>
    <row r="24" spans="2:8" ht="12" customHeight="1" x14ac:dyDescent="0.25">
      <c r="B24" s="30" t="s">
        <v>145</v>
      </c>
      <c r="C24" s="25" t="s">
        <v>150</v>
      </c>
      <c r="D24" s="179">
        <v>84.427999999999997</v>
      </c>
      <c r="E24" s="179">
        <v>94.41</v>
      </c>
      <c r="F24" s="179">
        <v>100</v>
      </c>
      <c r="G24" s="179">
        <v>92.305999999999997</v>
      </c>
      <c r="H24" s="179">
        <v>-7.694</v>
      </c>
    </row>
    <row r="25" spans="2:8" ht="12" customHeight="1" x14ac:dyDescent="0.25">
      <c r="B25" s="30" t="s">
        <v>222</v>
      </c>
      <c r="C25" s="25" t="s">
        <v>150</v>
      </c>
      <c r="D25" s="179">
        <v>92.984999999999999</v>
      </c>
      <c r="E25" s="179">
        <v>98.870999999999995</v>
      </c>
      <c r="F25" s="179">
        <v>100</v>
      </c>
      <c r="G25" s="179">
        <v>97.566999999999993</v>
      </c>
      <c r="H25" s="179">
        <v>-2.4329999999999998</v>
      </c>
    </row>
    <row r="26" spans="2:8" ht="12" customHeight="1" x14ac:dyDescent="0.25">
      <c r="B26" s="170" t="s">
        <v>151</v>
      </c>
      <c r="C26" s="170"/>
      <c r="D26" s="174"/>
      <c r="E26" s="174"/>
      <c r="F26" s="174"/>
      <c r="G26" s="174"/>
      <c r="H26" s="174"/>
    </row>
    <row r="27" spans="2:8" ht="12" customHeight="1" x14ac:dyDescent="0.25">
      <c r="B27" s="49" t="s">
        <v>152</v>
      </c>
      <c r="C27" s="25" t="s">
        <v>41</v>
      </c>
      <c r="D27" s="179">
        <v>24403.473000000002</v>
      </c>
      <c r="E27" s="179">
        <v>26506.576000000001</v>
      </c>
      <c r="F27" s="179">
        <v>26865.387999999999</v>
      </c>
      <c r="G27" s="179">
        <v>25232.236000000001</v>
      </c>
      <c r="H27" s="179">
        <v>-6.0789999999999997</v>
      </c>
    </row>
    <row r="28" spans="2:8" ht="12" customHeight="1" x14ac:dyDescent="0.25">
      <c r="B28" s="23" t="s">
        <v>240</v>
      </c>
      <c r="C28" s="25" t="s">
        <v>8</v>
      </c>
      <c r="D28" s="179">
        <v>71.358999999999995</v>
      </c>
      <c r="E28" s="179">
        <v>65.647999999999996</v>
      </c>
      <c r="F28" s="179">
        <v>66.430999999999997</v>
      </c>
      <c r="G28" s="179">
        <v>67.691000000000003</v>
      </c>
      <c r="H28" s="179">
        <v>1.897</v>
      </c>
    </row>
    <row r="29" spans="2:8" ht="12" customHeight="1" x14ac:dyDescent="0.25">
      <c r="B29" s="17" t="s">
        <v>241</v>
      </c>
      <c r="C29" s="25" t="s">
        <v>8</v>
      </c>
      <c r="D29" s="179">
        <v>30.481999999999999</v>
      </c>
      <c r="E29" s="179">
        <v>29.707000000000001</v>
      </c>
      <c r="F29" s="179">
        <v>28.49</v>
      </c>
      <c r="G29" s="179">
        <v>27.033000000000001</v>
      </c>
      <c r="H29" s="179">
        <v>-5.1139999999999999</v>
      </c>
    </row>
    <row r="30" spans="2:8" ht="12" customHeight="1" x14ac:dyDescent="0.25">
      <c r="B30" s="176" t="s">
        <v>153</v>
      </c>
      <c r="C30" s="176"/>
      <c r="D30" s="177"/>
      <c r="E30" s="177"/>
      <c r="F30" s="177"/>
      <c r="G30" s="177"/>
      <c r="H30" s="177"/>
    </row>
    <row r="31" spans="2:8" ht="12" customHeight="1" x14ac:dyDescent="0.25">
      <c r="B31" s="23" t="s">
        <v>154</v>
      </c>
      <c r="C31" s="25" t="s">
        <v>17</v>
      </c>
      <c r="D31" s="179">
        <v>72411.611999999994</v>
      </c>
      <c r="E31" s="179">
        <v>75944.883000000002</v>
      </c>
      <c r="F31" s="179">
        <v>80017.327999999994</v>
      </c>
      <c r="G31" s="179">
        <v>78258.373999999996</v>
      </c>
      <c r="H31" s="179">
        <v>-2.198</v>
      </c>
    </row>
    <row r="32" spans="2:8" ht="12" customHeight="1" x14ac:dyDescent="0.25">
      <c r="B32" s="29" t="s">
        <v>242</v>
      </c>
      <c r="C32" s="25" t="s">
        <v>17</v>
      </c>
      <c r="D32" s="179">
        <v>10872.356</v>
      </c>
      <c r="E32" s="179">
        <v>19129.884999999998</v>
      </c>
      <c r="F32" s="179">
        <v>24626.661</v>
      </c>
      <c r="G32" s="179">
        <v>21191.5</v>
      </c>
      <c r="H32" s="179">
        <v>-13.949</v>
      </c>
    </row>
    <row r="33" spans="2:8" ht="12" customHeight="1" x14ac:dyDescent="0.25">
      <c r="B33" s="180" t="s">
        <v>243</v>
      </c>
      <c r="C33" s="25" t="s">
        <v>150</v>
      </c>
      <c r="D33" s="179">
        <v>98.584999999999994</v>
      </c>
      <c r="E33" s="179">
        <v>103.059</v>
      </c>
      <c r="F33" s="179">
        <v>100</v>
      </c>
      <c r="G33" s="179">
        <v>98.613</v>
      </c>
      <c r="H33" s="179">
        <v>-1.387</v>
      </c>
    </row>
    <row r="34" spans="2:8" ht="90" customHeight="1" x14ac:dyDescent="0.25">
      <c r="B34" s="257" t="s">
        <v>155</v>
      </c>
      <c r="C34" s="258"/>
      <c r="D34" s="258"/>
      <c r="E34" s="258"/>
      <c r="F34" s="258"/>
      <c r="G34" s="258"/>
      <c r="H34" s="258"/>
    </row>
  </sheetData>
  <mergeCells count="2">
    <mergeCell ref="B7:H7"/>
    <mergeCell ref="B34:H34"/>
  </mergeCells>
  <conditionalFormatting sqref="B6:H34">
    <cfRule type="cellIs" dxfId="141" priority="2" stopIfTrue="1" operator="equal">
      <formula>0</formula>
    </cfRule>
    <cfRule type="cellIs" dxfId="140" priority="3" stopIfTrue="1" operator="lessThanOrEqual">
      <formula>-100</formula>
    </cfRule>
    <cfRule type="cellIs" dxfId="139" priority="4" stopIfTrue="1" operator="between">
      <formula>-99.999999999999</formula>
      <formula>99.999999999999</formula>
    </cfRule>
    <cfRule type="cellIs" dxfId="138" priority="5" stopIfTrue="1" operator="greaterThanOrEqual">
      <formula>100</formula>
    </cfRule>
  </conditionalFormatting>
  <conditionalFormatting sqref="D23:H25 D33:H33">
    <cfRule type="notContainsBlanks" dxfId="137" priority="1">
      <formula>LEN(TRIM(D23))&gt;0</formula>
    </cfRule>
  </conditionalFormatting>
  <pageMargins left="0.7" right="0.7" top="0.75" bottom="0.75" header="0.3" footer="0.3"/>
  <pageSetup paperSize="9" scale="8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C235-54EC-40E4-8DFD-C30D1B569F1F}">
  <sheetPr>
    <pageSetUpPr fitToPage="1"/>
  </sheetPr>
  <dimension ref="B6:G28"/>
  <sheetViews>
    <sheetView workbookViewId="0"/>
  </sheetViews>
  <sheetFormatPr defaultColWidth="9.140625" defaultRowHeight="15" x14ac:dyDescent="0.25"/>
  <cols>
    <col min="1" max="1" width="9.140625" style="10"/>
    <col min="2" max="2" width="31.140625" style="10" customWidth="1"/>
    <col min="3" max="3" width="7.28515625" style="10" customWidth="1"/>
    <col min="4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1" t="s">
        <v>0</v>
      </c>
      <c r="C7" s="2"/>
      <c r="D7" s="2"/>
      <c r="E7" s="2"/>
      <c r="F7" s="2"/>
      <c r="G7" s="2"/>
    </row>
    <row r="8" spans="2:7" ht="12" customHeight="1" x14ac:dyDescent="0.25">
      <c r="B8" s="11" t="s">
        <v>1</v>
      </c>
      <c r="C8" s="12" t="s">
        <v>2</v>
      </c>
      <c r="D8" s="3" t="s">
        <v>3</v>
      </c>
      <c r="E8" s="3" t="s">
        <v>4</v>
      </c>
      <c r="F8" s="3" t="s">
        <v>5</v>
      </c>
      <c r="G8" s="13" t="s">
        <v>6</v>
      </c>
    </row>
    <row r="9" spans="2:7" ht="12" customHeight="1" x14ac:dyDescent="0.25">
      <c r="B9" s="14" t="s">
        <v>7</v>
      </c>
      <c r="C9" s="15"/>
      <c r="D9" s="4"/>
      <c r="E9" s="4"/>
      <c r="F9" s="4"/>
      <c r="G9" s="16"/>
    </row>
    <row r="10" spans="2:7" ht="12" customHeight="1" x14ac:dyDescent="0.25">
      <c r="B10" s="17" t="s">
        <v>230</v>
      </c>
      <c r="C10" s="18" t="s">
        <v>8</v>
      </c>
      <c r="D10" s="19">
        <v>29.707000000000001</v>
      </c>
      <c r="E10" s="19">
        <v>28.49</v>
      </c>
      <c r="F10" s="19">
        <v>27.033000000000001</v>
      </c>
      <c r="G10" s="20">
        <v>-5.1139999999999999</v>
      </c>
    </row>
    <row r="11" spans="2:7" ht="12" customHeight="1" x14ac:dyDescent="0.25">
      <c r="B11" s="21" t="s">
        <v>244</v>
      </c>
      <c r="C11" s="18" t="s">
        <v>8</v>
      </c>
      <c r="D11" s="19">
        <v>27.596</v>
      </c>
      <c r="E11" s="19">
        <v>26.43</v>
      </c>
      <c r="F11" s="19">
        <v>25.018000000000001</v>
      </c>
      <c r="G11" s="22">
        <v>-5.3419999999999996</v>
      </c>
    </row>
    <row r="12" spans="2:7" ht="12" customHeight="1" x14ac:dyDescent="0.25">
      <c r="B12" s="23" t="s">
        <v>245</v>
      </c>
      <c r="C12" s="18" t="s">
        <v>9</v>
      </c>
      <c r="D12" s="19">
        <v>9275.4</v>
      </c>
      <c r="E12" s="19">
        <v>10010.299999999999</v>
      </c>
      <c r="F12" s="19">
        <v>9515</v>
      </c>
      <c r="G12" s="20">
        <v>-4.9480000000000004</v>
      </c>
    </row>
    <row r="13" spans="2:7" ht="12" customHeight="1" x14ac:dyDescent="0.25">
      <c r="B13" s="24" t="s">
        <v>10</v>
      </c>
      <c r="C13" s="25" t="s">
        <v>11</v>
      </c>
      <c r="D13" s="19">
        <v>2763.0929999999998</v>
      </c>
      <c r="E13" s="19">
        <v>3001.11</v>
      </c>
      <c r="F13" s="19">
        <v>2862.569</v>
      </c>
      <c r="G13" s="20">
        <v>-4.6159999999999997</v>
      </c>
    </row>
    <row r="14" spans="2:7" ht="12" customHeight="1" x14ac:dyDescent="0.25">
      <c r="B14" s="24" t="s">
        <v>246</v>
      </c>
      <c r="C14" s="25" t="s">
        <v>12</v>
      </c>
      <c r="D14" s="19">
        <v>20.225999999999999</v>
      </c>
      <c r="E14" s="19">
        <v>16.577999999999999</v>
      </c>
      <c r="F14" s="19">
        <v>17.004999999999999</v>
      </c>
      <c r="G14" s="26">
        <v>2.5760000000000001</v>
      </c>
    </row>
    <row r="15" spans="2:7" ht="12" customHeight="1" x14ac:dyDescent="0.25">
      <c r="B15" s="27" t="s">
        <v>13</v>
      </c>
      <c r="C15" s="28"/>
      <c r="D15" s="28"/>
      <c r="E15" s="28"/>
      <c r="F15" s="28"/>
      <c r="G15" s="28"/>
    </row>
    <row r="16" spans="2:7" ht="12" customHeight="1" x14ac:dyDescent="0.25">
      <c r="B16" s="29" t="s">
        <v>247</v>
      </c>
      <c r="C16" s="9"/>
      <c r="D16" s="19"/>
      <c r="E16" s="19"/>
      <c r="F16" s="19"/>
      <c r="G16" s="20"/>
    </row>
    <row r="17" spans="2:7" ht="12" customHeight="1" x14ac:dyDescent="0.25">
      <c r="B17" s="30" t="s">
        <v>14</v>
      </c>
      <c r="C17" s="25" t="s">
        <v>15</v>
      </c>
      <c r="D17" s="19">
        <v>1535.14</v>
      </c>
      <c r="E17" s="19">
        <v>1762.6469999999999</v>
      </c>
      <c r="F17" s="19">
        <v>1658.3240000000001</v>
      </c>
      <c r="G17" s="20">
        <v>-5.9189999999999996</v>
      </c>
    </row>
    <row r="18" spans="2:7" ht="12" customHeight="1" x14ac:dyDescent="0.25">
      <c r="B18" s="30" t="s">
        <v>16</v>
      </c>
      <c r="C18" s="25" t="s">
        <v>17</v>
      </c>
      <c r="D18" s="19">
        <v>16094.958000000001</v>
      </c>
      <c r="E18" s="19">
        <v>20793.644</v>
      </c>
      <c r="F18" s="19">
        <v>17680.383000000002</v>
      </c>
      <c r="G18" s="20">
        <v>-14.972</v>
      </c>
    </row>
    <row r="19" spans="2:7" ht="12" customHeight="1" x14ac:dyDescent="0.25">
      <c r="B19" s="23" t="s">
        <v>248</v>
      </c>
      <c r="C19" s="9"/>
      <c r="D19" s="19"/>
      <c r="E19" s="19"/>
      <c r="F19" s="19"/>
      <c r="G19" s="20"/>
    </row>
    <row r="20" spans="2:7" ht="12" customHeight="1" x14ac:dyDescent="0.25">
      <c r="B20" s="30" t="s">
        <v>18</v>
      </c>
      <c r="C20" s="18" t="s">
        <v>9</v>
      </c>
      <c r="D20" s="19">
        <v>687.13400000000001</v>
      </c>
      <c r="E20" s="19">
        <v>585.846</v>
      </c>
      <c r="F20" s="19">
        <v>565</v>
      </c>
      <c r="G20" s="20">
        <v>-3.5579999999999998</v>
      </c>
    </row>
    <row r="21" spans="2:7" ht="12" customHeight="1" x14ac:dyDescent="0.25">
      <c r="B21" s="30" t="s">
        <v>16</v>
      </c>
      <c r="C21" s="25" t="s">
        <v>17</v>
      </c>
      <c r="D21" s="19">
        <v>769.87199999999996</v>
      </c>
      <c r="E21" s="19">
        <v>739.59500000000003</v>
      </c>
      <c r="F21" s="19">
        <v>720.8</v>
      </c>
      <c r="G21" s="20">
        <v>-2.5409999999999999</v>
      </c>
    </row>
    <row r="22" spans="2:7" ht="12" customHeight="1" x14ac:dyDescent="0.25">
      <c r="B22" s="27" t="s">
        <v>19</v>
      </c>
      <c r="C22" s="28"/>
      <c r="D22" s="28"/>
      <c r="E22" s="28"/>
      <c r="F22" s="28"/>
      <c r="G22" s="28"/>
    </row>
    <row r="23" spans="2:7" ht="12" customHeight="1" x14ac:dyDescent="0.25">
      <c r="B23" s="24" t="s">
        <v>249</v>
      </c>
      <c r="C23" s="18" t="s">
        <v>20</v>
      </c>
      <c r="D23" s="19">
        <v>609.73299999999995</v>
      </c>
      <c r="E23" s="19">
        <v>782.58799999999997</v>
      </c>
      <c r="F23" s="19">
        <v>750</v>
      </c>
      <c r="G23" s="20">
        <v>-4.1639999999999997</v>
      </c>
    </row>
    <row r="24" spans="2:7" ht="12" customHeight="1" x14ac:dyDescent="0.25">
      <c r="B24" s="23" t="s">
        <v>250</v>
      </c>
      <c r="C24" s="5" t="s">
        <v>21</v>
      </c>
      <c r="D24" s="6">
        <v>653.75699999999995</v>
      </c>
      <c r="E24" s="6">
        <v>785</v>
      </c>
      <c r="F24" s="6">
        <v>745</v>
      </c>
      <c r="G24" s="7">
        <v>-5.0960000000000001</v>
      </c>
    </row>
    <row r="25" spans="2:7" ht="12" customHeight="1" x14ac:dyDescent="0.25">
      <c r="B25" s="27" t="s">
        <v>22</v>
      </c>
      <c r="C25" s="8"/>
      <c r="D25" s="6"/>
      <c r="E25" s="6"/>
      <c r="F25" s="6"/>
      <c r="G25" s="7"/>
    </row>
    <row r="26" spans="2:7" ht="12" customHeight="1" x14ac:dyDescent="0.25">
      <c r="B26" s="24" t="s">
        <v>251</v>
      </c>
      <c r="C26" s="8" t="s">
        <v>17</v>
      </c>
      <c r="D26" s="19">
        <v>17701.356</v>
      </c>
      <c r="E26" s="6">
        <v>23622.13</v>
      </c>
      <c r="F26" s="6">
        <v>21469.268</v>
      </c>
      <c r="G26" s="7">
        <v>-9.1140000000000008</v>
      </c>
    </row>
    <row r="27" spans="2:7" ht="12" customHeight="1" x14ac:dyDescent="0.25">
      <c r="B27" s="23" t="s">
        <v>252</v>
      </c>
      <c r="C27" s="8" t="s">
        <v>17</v>
      </c>
      <c r="D27" s="6">
        <v>960.03800000000001</v>
      </c>
      <c r="E27" s="6">
        <v>961.31700000000001</v>
      </c>
      <c r="F27" s="6">
        <v>923.6</v>
      </c>
      <c r="G27" s="7">
        <v>-3.923</v>
      </c>
    </row>
    <row r="28" spans="2:7" ht="58.35" customHeight="1" x14ac:dyDescent="0.25">
      <c r="B28" s="259" t="s">
        <v>23</v>
      </c>
      <c r="C28" s="259"/>
      <c r="D28" s="259"/>
      <c r="E28" s="259"/>
      <c r="F28" s="259"/>
      <c r="G28" s="259"/>
    </row>
  </sheetData>
  <mergeCells count="1">
    <mergeCell ref="B28:G28"/>
  </mergeCells>
  <conditionalFormatting sqref="B6:G15 B16 D16:G16 B17:G18 B19 D19:G19 B20:G28">
    <cfRule type="cellIs" dxfId="136" priority="4" stopIfTrue="1" operator="lessThanOrEqual">
      <formula>-100</formula>
    </cfRule>
    <cfRule type="cellIs" dxfId="135" priority="5" stopIfTrue="1" operator="between">
      <formula>-99.999999999999</formula>
      <formula>99.999999999999</formula>
    </cfRule>
    <cfRule type="cellIs" dxfId="134" priority="6" stopIfTrue="1" operator="greaterThanOrEqual">
      <formula>100</formula>
    </cfRule>
  </conditionalFormatting>
  <conditionalFormatting sqref="B6:G15 D16:G16 B17:G18 D19:G19 B20:G28 B16 B19">
    <cfRule type="cellIs" dxfId="133" priority="3" stopIfTrue="1" operator="equal">
      <formula>0</formula>
    </cfRule>
  </conditionalFormatting>
  <conditionalFormatting sqref="D10:F14 D16:F21 D23:F27">
    <cfRule type="cellIs" dxfId="132" priority="1" operator="lessThanOrEqual">
      <formula>99</formula>
    </cfRule>
    <cfRule type="cellIs" dxfId="131" priority="2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5EBB-427E-4984-9140-BFC6E8B9FD28}">
  <sheetPr>
    <pageSetUpPr fitToPage="1"/>
  </sheetPr>
  <dimension ref="B6:G42"/>
  <sheetViews>
    <sheetView workbookViewId="0"/>
  </sheetViews>
  <sheetFormatPr defaultColWidth="9.140625" defaultRowHeight="15" x14ac:dyDescent="0.25"/>
  <cols>
    <col min="1" max="1" width="9.140625" style="10"/>
    <col min="2" max="2" width="19.7109375" style="10" customWidth="1"/>
    <col min="3" max="3" width="7.28515625" style="10" customWidth="1"/>
    <col min="4" max="7" width="9.5703125" style="10" customWidth="1"/>
    <col min="8" max="16384" width="9.140625" style="10"/>
  </cols>
  <sheetData>
    <row r="6" spans="2:7" ht="10.5" customHeight="1" x14ac:dyDescent="0.25">
      <c r="B6" s="9"/>
      <c r="C6" s="9"/>
      <c r="D6" s="43"/>
      <c r="E6" s="43"/>
      <c r="F6" s="43"/>
      <c r="G6" s="44"/>
    </row>
    <row r="7" spans="2:7" ht="24" customHeight="1" x14ac:dyDescent="0.25">
      <c r="B7" s="31" t="s">
        <v>24</v>
      </c>
      <c r="C7" s="32"/>
      <c r="D7" s="32"/>
      <c r="E7" s="32"/>
      <c r="F7" s="32"/>
      <c r="G7" s="32"/>
    </row>
    <row r="8" spans="2:7" ht="12.6" customHeight="1" x14ac:dyDescent="0.25">
      <c r="B8" s="33" t="s">
        <v>25</v>
      </c>
      <c r="C8" s="15" t="s">
        <v>2</v>
      </c>
      <c r="D8" s="45" t="s">
        <v>26</v>
      </c>
      <c r="E8" s="45" t="s">
        <v>4</v>
      </c>
      <c r="F8" s="45" t="s">
        <v>5</v>
      </c>
      <c r="G8" s="46" t="s">
        <v>6</v>
      </c>
    </row>
    <row r="9" spans="2:7" ht="12" customHeight="1" x14ac:dyDescent="0.25">
      <c r="B9" s="27" t="s">
        <v>27</v>
      </c>
      <c r="C9" s="28"/>
      <c r="D9" s="28"/>
      <c r="E9" s="28"/>
      <c r="F9" s="28"/>
      <c r="G9" s="28"/>
    </row>
    <row r="10" spans="2:7" ht="12" customHeight="1" x14ac:dyDescent="0.25">
      <c r="B10" s="17" t="s">
        <v>28</v>
      </c>
      <c r="C10" s="18" t="s">
        <v>29</v>
      </c>
      <c r="D10" s="34">
        <v>1516.1590000000001</v>
      </c>
      <c r="E10" s="34">
        <v>1628.0229999999999</v>
      </c>
      <c r="F10" s="34">
        <v>1593.01</v>
      </c>
      <c r="G10" s="35">
        <v>-2.1509999999999998</v>
      </c>
    </row>
    <row r="11" spans="2:7" ht="12" customHeight="1" x14ac:dyDescent="0.25">
      <c r="B11" s="21" t="s">
        <v>30</v>
      </c>
      <c r="C11" s="18" t="s">
        <v>29</v>
      </c>
      <c r="D11" s="34">
        <v>143.422</v>
      </c>
      <c r="E11" s="34">
        <v>154.44900000000001</v>
      </c>
      <c r="F11" s="34">
        <v>157.06899999999999</v>
      </c>
      <c r="G11" s="35">
        <v>1.696</v>
      </c>
    </row>
    <row r="12" spans="2:7" ht="12" customHeight="1" x14ac:dyDescent="0.25">
      <c r="B12" s="21" t="s">
        <v>31</v>
      </c>
      <c r="C12" s="18" t="s">
        <v>29</v>
      </c>
      <c r="D12" s="34">
        <v>1234.06</v>
      </c>
      <c r="E12" s="34">
        <v>1329.9090000000001</v>
      </c>
      <c r="F12" s="34">
        <v>1298.8779999999999</v>
      </c>
      <c r="G12" s="35">
        <v>-2.3330000000000002</v>
      </c>
    </row>
    <row r="13" spans="2:7" ht="12" customHeight="1" x14ac:dyDescent="0.25">
      <c r="B13" s="17" t="s">
        <v>32</v>
      </c>
      <c r="C13" s="18" t="s">
        <v>29</v>
      </c>
      <c r="D13" s="34">
        <v>1534.415</v>
      </c>
      <c r="E13" s="34">
        <v>1597.7539999999999</v>
      </c>
      <c r="F13" s="34">
        <v>1607.9849999999999</v>
      </c>
      <c r="G13" s="35">
        <v>0.64</v>
      </c>
    </row>
    <row r="14" spans="2:7" ht="12" customHeight="1" x14ac:dyDescent="0.25">
      <c r="B14" s="17" t="s">
        <v>33</v>
      </c>
      <c r="C14" s="18" t="s">
        <v>29</v>
      </c>
      <c r="D14" s="34">
        <v>227.90299999999999</v>
      </c>
      <c r="E14" s="34">
        <v>269.95</v>
      </c>
      <c r="F14" s="34">
        <v>252.33799999999999</v>
      </c>
      <c r="G14" s="35">
        <v>-6.524</v>
      </c>
    </row>
    <row r="15" spans="2:7" ht="12" customHeight="1" x14ac:dyDescent="0.25">
      <c r="B15" s="17" t="s">
        <v>34</v>
      </c>
      <c r="C15" s="18" t="s">
        <v>29</v>
      </c>
      <c r="D15" s="34">
        <v>325.12799999999999</v>
      </c>
      <c r="E15" s="34">
        <v>330.53399999999999</v>
      </c>
      <c r="F15" s="34">
        <v>306.64699999999999</v>
      </c>
      <c r="G15" s="36">
        <v>-7.2270000000000003</v>
      </c>
    </row>
    <row r="16" spans="2:7" ht="12" customHeight="1" x14ac:dyDescent="0.25">
      <c r="B16" s="17" t="s">
        <v>35</v>
      </c>
      <c r="C16" s="25" t="s">
        <v>36</v>
      </c>
      <c r="D16" s="34">
        <v>21.189</v>
      </c>
      <c r="E16" s="34">
        <v>20.687000000000001</v>
      </c>
      <c r="F16" s="37">
        <v>19.07</v>
      </c>
      <c r="G16" s="38" t="s">
        <v>37</v>
      </c>
    </row>
    <row r="17" spans="2:7" ht="12" customHeight="1" x14ac:dyDescent="0.25">
      <c r="B17" s="17" t="s">
        <v>253</v>
      </c>
      <c r="C17" s="25" t="s">
        <v>38</v>
      </c>
      <c r="D17" s="34">
        <v>199.083</v>
      </c>
      <c r="E17" s="34">
        <v>202.52600000000001</v>
      </c>
      <c r="F17" s="34">
        <v>212.65199999999999</v>
      </c>
      <c r="G17" s="39">
        <v>5</v>
      </c>
    </row>
    <row r="18" spans="2:7" ht="12" customHeight="1" x14ac:dyDescent="0.25">
      <c r="B18" s="17" t="s">
        <v>254</v>
      </c>
      <c r="C18" s="25" t="s">
        <v>38</v>
      </c>
      <c r="D18" s="34">
        <v>219.50800000000001</v>
      </c>
      <c r="E18" s="34">
        <v>230.88300000000001</v>
      </c>
      <c r="F18" s="34">
        <v>240.11799999999999</v>
      </c>
      <c r="G18" s="35">
        <v>4</v>
      </c>
    </row>
    <row r="19" spans="2:7" ht="12" customHeight="1" x14ac:dyDescent="0.25">
      <c r="B19" s="47" t="s">
        <v>7</v>
      </c>
      <c r="C19" s="48"/>
      <c r="D19" s="48"/>
      <c r="E19" s="48"/>
      <c r="F19" s="48"/>
      <c r="G19" s="48"/>
    </row>
    <row r="20" spans="2:7" ht="12" customHeight="1" x14ac:dyDescent="0.25">
      <c r="B20" s="40" t="s">
        <v>39</v>
      </c>
      <c r="C20" s="40"/>
      <c r="D20" s="40"/>
      <c r="E20" s="40"/>
      <c r="F20" s="40"/>
      <c r="G20" s="40"/>
    </row>
    <row r="21" spans="2:7" ht="12" customHeight="1" x14ac:dyDescent="0.25">
      <c r="B21" s="49" t="s">
        <v>40</v>
      </c>
      <c r="C21" s="25" t="s">
        <v>41</v>
      </c>
      <c r="D21" s="19">
        <v>592.14599999999996</v>
      </c>
      <c r="E21" s="19">
        <v>586.97500000000002</v>
      </c>
      <c r="F21" s="19">
        <v>652.24</v>
      </c>
      <c r="G21" s="50">
        <v>11.119</v>
      </c>
    </row>
    <row r="22" spans="2:7" ht="12" customHeight="1" x14ac:dyDescent="0.25">
      <c r="B22" s="49" t="s">
        <v>42</v>
      </c>
      <c r="C22" s="25" t="s">
        <v>43</v>
      </c>
      <c r="D22" s="19">
        <v>2215.0349999999999</v>
      </c>
      <c r="E22" s="19">
        <v>2684.5680000000002</v>
      </c>
      <c r="F22" s="19">
        <v>2570.5990000000002</v>
      </c>
      <c r="G22" s="50">
        <v>-4.2450000000000001</v>
      </c>
    </row>
    <row r="23" spans="2:7" ht="12" customHeight="1" x14ac:dyDescent="0.25">
      <c r="B23" s="49" t="s">
        <v>44</v>
      </c>
      <c r="C23" s="25" t="s">
        <v>17</v>
      </c>
      <c r="D23" s="19">
        <v>967.10400000000004</v>
      </c>
      <c r="E23" s="19">
        <v>948.88400000000001</v>
      </c>
      <c r="F23" s="19">
        <v>738.39</v>
      </c>
      <c r="G23" s="50">
        <v>-22.183</v>
      </c>
    </row>
    <row r="24" spans="2:7" ht="12" customHeight="1" x14ac:dyDescent="0.25">
      <c r="B24" s="17" t="s">
        <v>45</v>
      </c>
      <c r="C24" s="25" t="s">
        <v>43</v>
      </c>
      <c r="D24" s="19">
        <v>203.11</v>
      </c>
      <c r="E24" s="19">
        <v>207.964</v>
      </c>
      <c r="F24" s="19">
        <v>208.261</v>
      </c>
      <c r="G24" s="50">
        <v>0.14299999999999999</v>
      </c>
    </row>
    <row r="25" spans="2:7" ht="12" customHeight="1" x14ac:dyDescent="0.25">
      <c r="B25" s="17" t="s">
        <v>46</v>
      </c>
      <c r="C25" s="25"/>
      <c r="D25" s="19"/>
      <c r="E25" s="19"/>
      <c r="F25" s="19"/>
      <c r="G25" s="50"/>
    </row>
    <row r="26" spans="2:7" ht="12" customHeight="1" x14ac:dyDescent="0.25">
      <c r="B26" s="21" t="s">
        <v>14</v>
      </c>
      <c r="C26" s="25" t="s">
        <v>43</v>
      </c>
      <c r="D26" s="19">
        <v>2175.3789999999999</v>
      </c>
      <c r="E26" s="19">
        <v>2464.9209999999998</v>
      </c>
      <c r="F26" s="19">
        <v>2360.2759999999998</v>
      </c>
      <c r="G26" s="50">
        <v>-4.2450000000000001</v>
      </c>
    </row>
    <row r="27" spans="2:7" ht="12" customHeight="1" x14ac:dyDescent="0.25">
      <c r="B27" s="21" t="s">
        <v>16</v>
      </c>
      <c r="C27" s="25" t="s">
        <v>17</v>
      </c>
      <c r="D27" s="19">
        <v>935.98299999999995</v>
      </c>
      <c r="E27" s="19">
        <v>1062.693</v>
      </c>
      <c r="F27" s="19">
        <v>1004.532</v>
      </c>
      <c r="G27" s="50">
        <v>-5.4729999999999999</v>
      </c>
    </row>
    <row r="28" spans="2:7" ht="12" customHeight="1" x14ac:dyDescent="0.25">
      <c r="B28" s="17" t="s">
        <v>255</v>
      </c>
      <c r="C28" s="25" t="s">
        <v>43</v>
      </c>
      <c r="D28" s="19">
        <v>307.97800000000001</v>
      </c>
      <c r="E28" s="19">
        <v>319.67200000000003</v>
      </c>
      <c r="F28" s="19">
        <v>321.733</v>
      </c>
      <c r="G28" s="50">
        <v>0.64500000000000002</v>
      </c>
    </row>
    <row r="29" spans="2:7" ht="12" customHeight="1" x14ac:dyDescent="0.25">
      <c r="B29" s="41" t="s">
        <v>47</v>
      </c>
      <c r="C29" s="41"/>
      <c r="D29" s="41"/>
      <c r="E29" s="41"/>
      <c r="F29" s="41"/>
      <c r="G29" s="41"/>
    </row>
    <row r="30" spans="2:7" ht="12" customHeight="1" x14ac:dyDescent="0.25">
      <c r="B30" s="49" t="s">
        <v>40</v>
      </c>
      <c r="C30" s="25" t="s">
        <v>41</v>
      </c>
      <c r="D30" s="19">
        <v>4621</v>
      </c>
      <c r="E30" s="19">
        <v>4872</v>
      </c>
      <c r="F30" s="19">
        <v>5146</v>
      </c>
      <c r="G30" s="50">
        <v>5.6239999999999997</v>
      </c>
    </row>
    <row r="31" spans="2:7" ht="12" customHeight="1" x14ac:dyDescent="0.25">
      <c r="B31" s="49" t="s">
        <v>42</v>
      </c>
      <c r="C31" s="25" t="s">
        <v>43</v>
      </c>
      <c r="D31" s="19">
        <v>13265</v>
      </c>
      <c r="E31" s="19">
        <v>16950.95</v>
      </c>
      <c r="F31" s="19">
        <v>16416</v>
      </c>
      <c r="G31" s="50">
        <v>-3.1560000000000001</v>
      </c>
    </row>
    <row r="32" spans="2:7" ht="12" customHeight="1" x14ac:dyDescent="0.25">
      <c r="B32" s="49" t="s">
        <v>44</v>
      </c>
      <c r="C32" s="25" t="s">
        <v>17</v>
      </c>
      <c r="D32" s="19">
        <v>4085.62</v>
      </c>
      <c r="E32" s="19">
        <v>5110.78</v>
      </c>
      <c r="F32" s="19">
        <v>5147.47</v>
      </c>
      <c r="G32" s="50">
        <v>0.71799999999999997</v>
      </c>
    </row>
    <row r="33" spans="2:7" ht="12" customHeight="1" x14ac:dyDescent="0.25">
      <c r="B33" s="17" t="s">
        <v>45</v>
      </c>
      <c r="C33" s="25" t="s">
        <v>43</v>
      </c>
      <c r="D33" s="19">
        <v>5869.24</v>
      </c>
      <c r="E33" s="19">
        <v>6091.57</v>
      </c>
      <c r="F33" s="19">
        <v>5822.3540000000003</v>
      </c>
      <c r="G33" s="50">
        <v>-4.4189999999999996</v>
      </c>
    </row>
    <row r="34" spans="2:7" ht="12" customHeight="1" x14ac:dyDescent="0.25">
      <c r="B34" s="17" t="s">
        <v>46</v>
      </c>
      <c r="C34" s="25"/>
      <c r="D34" s="19"/>
      <c r="E34" s="19"/>
      <c r="F34" s="19"/>
      <c r="G34" s="50"/>
    </row>
    <row r="35" spans="2:7" ht="12" customHeight="1" x14ac:dyDescent="0.25">
      <c r="B35" s="21" t="s">
        <v>14</v>
      </c>
      <c r="C35" s="25" t="s">
        <v>43</v>
      </c>
      <c r="D35" s="19">
        <v>8298.3529999999992</v>
      </c>
      <c r="E35" s="19">
        <v>11242.526</v>
      </c>
      <c r="F35" s="19">
        <v>10487.106</v>
      </c>
      <c r="G35" s="50">
        <v>-6.7190000000000003</v>
      </c>
    </row>
    <row r="36" spans="2:7" ht="12" customHeight="1" x14ac:dyDescent="0.25">
      <c r="B36" s="21" t="s">
        <v>16</v>
      </c>
      <c r="C36" s="25" t="s">
        <v>17</v>
      </c>
      <c r="D36" s="19">
        <v>3163.03</v>
      </c>
      <c r="E36" s="19">
        <v>3968.886</v>
      </c>
      <c r="F36" s="19">
        <v>3848.0160000000001</v>
      </c>
      <c r="G36" s="50">
        <v>-3.0449999999999999</v>
      </c>
    </row>
    <row r="37" spans="2:7" ht="12" customHeight="1" x14ac:dyDescent="0.25">
      <c r="B37" s="17" t="s">
        <v>256</v>
      </c>
      <c r="C37" s="25" t="s">
        <v>43</v>
      </c>
      <c r="D37" s="19">
        <v>1215.57</v>
      </c>
      <c r="E37" s="19">
        <v>832.58900000000006</v>
      </c>
      <c r="F37" s="19">
        <v>939.24400000000003</v>
      </c>
      <c r="G37" s="50">
        <v>12.81</v>
      </c>
    </row>
    <row r="38" spans="2:7" ht="12" customHeight="1" x14ac:dyDescent="0.25">
      <c r="B38" s="40" t="s">
        <v>19</v>
      </c>
      <c r="C38" s="40"/>
      <c r="D38" s="40"/>
      <c r="E38" s="40"/>
      <c r="F38" s="40"/>
      <c r="G38" s="40"/>
    </row>
    <row r="39" spans="2:7" ht="12" customHeight="1" x14ac:dyDescent="0.25">
      <c r="B39" s="42" t="s">
        <v>257</v>
      </c>
      <c r="C39" s="5" t="s">
        <v>48</v>
      </c>
      <c r="D39" s="19">
        <v>311.709</v>
      </c>
      <c r="E39" s="19">
        <v>305.13499999999999</v>
      </c>
      <c r="F39" s="19">
        <v>317.33999999999997</v>
      </c>
      <c r="G39" s="50">
        <v>4</v>
      </c>
    </row>
    <row r="40" spans="2:7" ht="12" customHeight="1" x14ac:dyDescent="0.25">
      <c r="B40" s="42" t="s">
        <v>258</v>
      </c>
      <c r="C40" s="5" t="s">
        <v>48</v>
      </c>
      <c r="D40" s="19">
        <v>322.05099999999999</v>
      </c>
      <c r="E40" s="19">
        <v>310.03800000000001</v>
      </c>
      <c r="F40" s="19">
        <v>322.44</v>
      </c>
      <c r="G40" s="50">
        <v>4</v>
      </c>
    </row>
    <row r="41" spans="2:7" ht="12" customHeight="1" x14ac:dyDescent="0.25">
      <c r="B41" s="42" t="s">
        <v>259</v>
      </c>
      <c r="C41" s="5" t="s">
        <v>48</v>
      </c>
      <c r="D41" s="19">
        <v>362.05200000000002</v>
      </c>
      <c r="E41" s="19">
        <v>370.98099999999999</v>
      </c>
      <c r="F41" s="19">
        <v>389.53</v>
      </c>
      <c r="G41" s="50">
        <v>5</v>
      </c>
    </row>
    <row r="42" spans="2:7" ht="72" customHeight="1" x14ac:dyDescent="0.25">
      <c r="B42" s="259" t="s">
        <v>49</v>
      </c>
      <c r="C42" s="260"/>
      <c r="D42" s="260"/>
      <c r="E42" s="260"/>
      <c r="F42" s="260"/>
      <c r="G42" s="260"/>
    </row>
  </sheetData>
  <mergeCells count="1">
    <mergeCell ref="B42:G42"/>
  </mergeCells>
  <conditionalFormatting sqref="B6:G42">
    <cfRule type="cellIs" dxfId="130" priority="1" stopIfTrue="1" operator="equal">
      <formula>0</formula>
    </cfRule>
    <cfRule type="cellIs" dxfId="129" priority="2" stopIfTrue="1" operator="lessThanOrEqual">
      <formula>-100</formula>
    </cfRule>
    <cfRule type="cellIs" dxfId="128" priority="3" stopIfTrue="1" operator="between">
      <formula>-99.999999999999</formula>
      <formula>99.999999999999</formula>
    </cfRule>
    <cfRule type="cellIs" dxfId="127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1A8A-B69B-4802-BE9B-BE896D6E7CD3}">
  <sheetPr>
    <pageSetUpPr fitToPage="1"/>
  </sheetPr>
  <dimension ref="B6:G25"/>
  <sheetViews>
    <sheetView workbookViewId="0"/>
  </sheetViews>
  <sheetFormatPr defaultColWidth="9.140625" defaultRowHeight="15" x14ac:dyDescent="0.25"/>
  <cols>
    <col min="1" max="1" width="9.140625" style="10"/>
    <col min="2" max="2" width="22.28515625" style="10" bestFit="1" customWidth="1"/>
    <col min="3" max="3" width="7.28515625" style="10" customWidth="1"/>
    <col min="4" max="7" width="8.5703125" style="10" customWidth="1"/>
    <col min="8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1" t="s">
        <v>50</v>
      </c>
      <c r="C7" s="2"/>
      <c r="D7" s="2"/>
      <c r="E7" s="2"/>
      <c r="F7" s="2"/>
      <c r="G7" s="2"/>
    </row>
    <row r="8" spans="2:7" ht="12.6" customHeight="1" x14ac:dyDescent="0.25">
      <c r="B8" s="51" t="s">
        <v>1</v>
      </c>
      <c r="C8" s="3" t="s">
        <v>2</v>
      </c>
      <c r="D8" s="3" t="s">
        <v>26</v>
      </c>
      <c r="E8" s="3" t="s">
        <v>4</v>
      </c>
      <c r="F8" s="3" t="s">
        <v>5</v>
      </c>
      <c r="G8" s="52" t="s">
        <v>6</v>
      </c>
    </row>
    <row r="9" spans="2:7" ht="12.6" customHeight="1" x14ac:dyDescent="0.25">
      <c r="B9" s="53" t="s">
        <v>51</v>
      </c>
      <c r="C9" s="53"/>
      <c r="D9" s="53"/>
      <c r="E9" s="53"/>
      <c r="F9" s="53"/>
      <c r="G9" s="54"/>
    </row>
    <row r="10" spans="2:7" ht="12" customHeight="1" x14ac:dyDescent="0.25">
      <c r="B10" s="55" t="s">
        <v>260</v>
      </c>
      <c r="C10" s="55"/>
      <c r="D10" s="55"/>
      <c r="E10" s="55"/>
      <c r="F10" s="55"/>
      <c r="G10" s="56"/>
    </row>
    <row r="11" spans="2:7" ht="12" customHeight="1" x14ac:dyDescent="0.25">
      <c r="B11" s="57" t="s">
        <v>52</v>
      </c>
      <c r="C11" s="58" t="s">
        <v>29</v>
      </c>
      <c r="D11" s="59">
        <v>26.024999999999999</v>
      </c>
      <c r="E11" s="59">
        <v>26.555</v>
      </c>
      <c r="F11" s="59">
        <v>25.611000000000001</v>
      </c>
      <c r="G11" s="60">
        <v>-3.5550000000000002</v>
      </c>
    </row>
    <row r="12" spans="2:7" ht="12" customHeight="1" x14ac:dyDescent="0.25">
      <c r="B12" s="61" t="s">
        <v>53</v>
      </c>
      <c r="C12" s="5" t="s">
        <v>29</v>
      </c>
      <c r="D12" s="62">
        <v>25.933</v>
      </c>
      <c r="E12" s="62">
        <v>26.32</v>
      </c>
      <c r="F12" s="62">
        <v>26.762</v>
      </c>
      <c r="G12" s="38">
        <v>1.679</v>
      </c>
    </row>
    <row r="13" spans="2:7" ht="12" customHeight="1" x14ac:dyDescent="0.25">
      <c r="B13" s="57" t="s">
        <v>54</v>
      </c>
      <c r="C13" s="5" t="s">
        <v>29</v>
      </c>
      <c r="D13" s="62">
        <v>9.2370000000000001</v>
      </c>
      <c r="E13" s="62">
        <v>9.92</v>
      </c>
      <c r="F13" s="62">
        <v>9.5399999999999991</v>
      </c>
      <c r="G13" s="38">
        <v>-3.831</v>
      </c>
    </row>
    <row r="14" spans="2:7" ht="12" customHeight="1" x14ac:dyDescent="0.25">
      <c r="B14" s="57" t="s">
        <v>55</v>
      </c>
      <c r="C14" s="5" t="s">
        <v>29</v>
      </c>
      <c r="D14" s="59">
        <v>16.286000000000001</v>
      </c>
      <c r="E14" s="59">
        <v>16.286000000000001</v>
      </c>
      <c r="F14" s="63">
        <v>15.172000000000001</v>
      </c>
      <c r="G14" s="38">
        <v>-6.84</v>
      </c>
    </row>
    <row r="15" spans="2:7" ht="12" customHeight="1" x14ac:dyDescent="0.25">
      <c r="B15" s="64" t="s">
        <v>56</v>
      </c>
      <c r="C15" s="5" t="s">
        <v>57</v>
      </c>
      <c r="D15" s="62">
        <v>79.61</v>
      </c>
      <c r="E15" s="62">
        <v>80.05</v>
      </c>
      <c r="F15" s="62">
        <v>89.91</v>
      </c>
      <c r="G15" s="38">
        <v>12.317</v>
      </c>
    </row>
    <row r="16" spans="2:7" ht="12" customHeight="1" x14ac:dyDescent="0.25">
      <c r="B16" s="55" t="s">
        <v>7</v>
      </c>
      <c r="C16" s="55"/>
      <c r="D16" s="55"/>
      <c r="E16" s="55"/>
      <c r="F16" s="55"/>
      <c r="G16" s="56"/>
    </row>
    <row r="17" spans="2:7" ht="12" customHeight="1" x14ac:dyDescent="0.25">
      <c r="B17" s="57" t="s">
        <v>40</v>
      </c>
      <c r="C17" s="5" t="s">
        <v>58</v>
      </c>
      <c r="D17" s="59">
        <v>518.71799999999996</v>
      </c>
      <c r="E17" s="59">
        <v>454.661</v>
      </c>
      <c r="F17" s="59">
        <v>301.01900000000001</v>
      </c>
      <c r="G17" s="60">
        <v>-33.792999999999999</v>
      </c>
    </row>
    <row r="18" spans="2:7" ht="12" customHeight="1" x14ac:dyDescent="0.25">
      <c r="B18" s="57" t="s">
        <v>59</v>
      </c>
      <c r="C18" s="5" t="s">
        <v>43</v>
      </c>
      <c r="D18" s="62">
        <v>1222.7560000000001</v>
      </c>
      <c r="E18" s="62">
        <v>1032.3630000000001</v>
      </c>
      <c r="F18" s="65">
        <v>678.59299999999996</v>
      </c>
      <c r="G18" s="38">
        <v>-34.268000000000001</v>
      </c>
    </row>
    <row r="19" spans="2:7" ht="12" customHeight="1" x14ac:dyDescent="0.25">
      <c r="B19" s="66" t="s">
        <v>261</v>
      </c>
      <c r="C19" s="67"/>
      <c r="D19" s="67"/>
      <c r="E19" s="67"/>
      <c r="F19" s="67"/>
      <c r="G19" s="68"/>
    </row>
    <row r="20" spans="2:7" ht="12" customHeight="1" x14ac:dyDescent="0.25">
      <c r="B20" s="69" t="s">
        <v>60</v>
      </c>
      <c r="C20" s="70" t="s">
        <v>43</v>
      </c>
      <c r="D20" s="59">
        <v>1134.434</v>
      </c>
      <c r="E20" s="59">
        <v>1269.6500000000001</v>
      </c>
      <c r="F20" s="59">
        <v>1022.309</v>
      </c>
      <c r="G20" s="71">
        <v>-19.481000000000002</v>
      </c>
    </row>
    <row r="21" spans="2:7" ht="12" customHeight="1" x14ac:dyDescent="0.25">
      <c r="B21" s="72" t="s">
        <v>16</v>
      </c>
      <c r="C21" s="8" t="s">
        <v>17</v>
      </c>
      <c r="D21" s="62">
        <v>3397.4279999999999</v>
      </c>
      <c r="E21" s="62">
        <v>3363.5050000000001</v>
      </c>
      <c r="F21" s="62">
        <v>2928.4929999999999</v>
      </c>
      <c r="G21" s="38">
        <v>-12.933</v>
      </c>
    </row>
    <row r="22" spans="2:7" ht="12" customHeight="1" x14ac:dyDescent="0.25">
      <c r="B22" s="73" t="s">
        <v>262</v>
      </c>
      <c r="C22" s="74" t="s">
        <v>61</v>
      </c>
      <c r="D22" s="62">
        <v>570.06600000000003</v>
      </c>
      <c r="E22" s="62">
        <v>555.44799999999998</v>
      </c>
      <c r="F22" s="62">
        <v>603.64400000000001</v>
      </c>
      <c r="G22" s="38">
        <v>8.6769999999999996</v>
      </c>
    </row>
    <row r="23" spans="2:7" ht="12" customHeight="1" x14ac:dyDescent="0.25">
      <c r="B23" s="53" t="s">
        <v>22</v>
      </c>
      <c r="C23" s="75"/>
      <c r="D23" s="62"/>
      <c r="E23" s="62"/>
      <c r="F23" s="62"/>
      <c r="G23" s="38"/>
    </row>
    <row r="24" spans="2:7" ht="12" customHeight="1" x14ac:dyDescent="0.25">
      <c r="B24" s="73" t="s">
        <v>229</v>
      </c>
      <c r="C24" s="75" t="s">
        <v>17</v>
      </c>
      <c r="D24" s="59">
        <v>3073.47</v>
      </c>
      <c r="E24" s="62">
        <v>2528.3649999999998</v>
      </c>
      <c r="F24" s="62">
        <v>1806.15</v>
      </c>
      <c r="G24" s="38">
        <v>-28.565000000000001</v>
      </c>
    </row>
    <row r="25" spans="2:7" ht="67.5" customHeight="1" x14ac:dyDescent="0.25">
      <c r="B25" s="254" t="s">
        <v>62</v>
      </c>
      <c r="C25" s="254"/>
      <c r="D25" s="254"/>
      <c r="E25" s="254"/>
      <c r="F25" s="254"/>
      <c r="G25" s="254"/>
    </row>
  </sheetData>
  <mergeCells count="1">
    <mergeCell ref="B25:G25"/>
  </mergeCells>
  <conditionalFormatting sqref="B6:G18 B19 B20:G25">
    <cfRule type="cellIs" dxfId="126" priority="1" stopIfTrue="1" operator="equal">
      <formula>0</formula>
    </cfRule>
    <cfRule type="cellIs" dxfId="125" priority="2" stopIfTrue="1" operator="lessThanOrEqual">
      <formula>-100</formula>
    </cfRule>
    <cfRule type="cellIs" dxfId="124" priority="3" stopIfTrue="1" operator="between">
      <formula>-99.999999999999</formula>
      <formula>99.999999999999</formula>
    </cfRule>
    <cfRule type="cellIs" dxfId="123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83F-0734-4701-8E5A-33E5AF126F56}">
  <sheetPr>
    <pageSetUpPr fitToPage="1"/>
  </sheetPr>
  <dimension ref="B6:G28"/>
  <sheetViews>
    <sheetView workbookViewId="0"/>
  </sheetViews>
  <sheetFormatPr defaultColWidth="9.140625" defaultRowHeight="15" x14ac:dyDescent="0.25"/>
  <cols>
    <col min="1" max="1" width="9.140625" style="10"/>
    <col min="2" max="2" width="24.7109375" style="10" customWidth="1"/>
    <col min="3" max="3" width="7.5703125" style="10" customWidth="1"/>
    <col min="4" max="7" width="9.28515625" style="10" customWidth="1"/>
    <col min="8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1" t="s">
        <v>63</v>
      </c>
      <c r="C7" s="2"/>
      <c r="D7" s="2"/>
      <c r="E7" s="2"/>
      <c r="F7" s="2"/>
      <c r="G7" s="2"/>
    </row>
    <row r="8" spans="2:7" ht="12.6" customHeight="1" x14ac:dyDescent="0.25">
      <c r="B8" s="11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13" t="s">
        <v>6</v>
      </c>
    </row>
    <row r="9" spans="2:7" ht="12" customHeight="1" x14ac:dyDescent="0.25">
      <c r="B9" s="27" t="s">
        <v>7</v>
      </c>
      <c r="C9" s="28"/>
      <c r="D9" s="28"/>
      <c r="E9" s="28"/>
      <c r="F9" s="28"/>
      <c r="G9" s="28"/>
    </row>
    <row r="10" spans="2:7" ht="12" customHeight="1" x14ac:dyDescent="0.25">
      <c r="B10" s="49" t="s">
        <v>263</v>
      </c>
      <c r="C10" s="25" t="s">
        <v>9</v>
      </c>
      <c r="D10" s="76">
        <v>1300</v>
      </c>
      <c r="E10" s="77">
        <v>1276.5999999999999</v>
      </c>
      <c r="F10" s="77">
        <v>1251.068</v>
      </c>
      <c r="G10" s="78">
        <v>-2</v>
      </c>
    </row>
    <row r="11" spans="2:7" ht="12" customHeight="1" x14ac:dyDescent="0.25">
      <c r="B11" s="17" t="s">
        <v>64</v>
      </c>
      <c r="C11" s="18" t="s">
        <v>65</v>
      </c>
      <c r="D11" s="76">
        <v>6396.1689999999999</v>
      </c>
      <c r="E11" s="77">
        <v>6559.0039999999999</v>
      </c>
      <c r="F11" s="77">
        <v>6605.8549999999996</v>
      </c>
      <c r="G11" s="78">
        <v>0.71399999999999997</v>
      </c>
    </row>
    <row r="12" spans="2:7" ht="12" customHeight="1" x14ac:dyDescent="0.25">
      <c r="B12" s="27" t="s">
        <v>42</v>
      </c>
      <c r="C12" s="28"/>
      <c r="D12" s="28"/>
      <c r="E12" s="28"/>
      <c r="F12" s="28"/>
      <c r="G12" s="28"/>
    </row>
    <row r="13" spans="2:7" ht="12" customHeight="1" x14ac:dyDescent="0.25">
      <c r="B13" s="91" t="s">
        <v>66</v>
      </c>
      <c r="C13" s="18" t="s">
        <v>67</v>
      </c>
      <c r="D13" s="76">
        <v>8315.02</v>
      </c>
      <c r="E13" s="79">
        <v>8373.2250000000004</v>
      </c>
      <c r="F13" s="76">
        <v>8264.3729999999996</v>
      </c>
      <c r="G13" s="78">
        <v>-1.3</v>
      </c>
    </row>
    <row r="14" spans="2:7" ht="12" customHeight="1" x14ac:dyDescent="0.25">
      <c r="B14" s="92" t="s">
        <v>68</v>
      </c>
      <c r="C14" s="25" t="s">
        <v>67</v>
      </c>
      <c r="D14" s="76">
        <v>2263.6880000000001</v>
      </c>
      <c r="E14" s="76">
        <v>2227.2170000000001</v>
      </c>
      <c r="F14" s="76">
        <v>2211.047</v>
      </c>
      <c r="G14" s="78">
        <v>-0.72599999999999998</v>
      </c>
    </row>
    <row r="15" spans="2:7" ht="12" customHeight="1" x14ac:dyDescent="0.25">
      <c r="B15" s="92" t="s">
        <v>69</v>
      </c>
      <c r="C15" s="25" t="s">
        <v>67</v>
      </c>
      <c r="D15" s="76">
        <v>6051.3320000000003</v>
      </c>
      <c r="E15" s="76">
        <v>6146.0079999999998</v>
      </c>
      <c r="F15" s="76">
        <v>6053.326</v>
      </c>
      <c r="G15" s="78">
        <v>-1.508</v>
      </c>
    </row>
    <row r="16" spans="2:7" ht="12" customHeight="1" x14ac:dyDescent="0.25">
      <c r="B16" s="21" t="s">
        <v>70</v>
      </c>
      <c r="C16" s="25" t="s">
        <v>43</v>
      </c>
      <c r="D16" s="76">
        <v>40.719000000000001</v>
      </c>
      <c r="E16" s="76">
        <v>40</v>
      </c>
      <c r="F16" s="76">
        <v>39</v>
      </c>
      <c r="G16" s="78">
        <v>-2.5</v>
      </c>
    </row>
    <row r="17" spans="2:7" ht="12" customHeight="1" x14ac:dyDescent="0.25">
      <c r="B17" s="91" t="s">
        <v>264</v>
      </c>
      <c r="C17" s="25" t="s">
        <v>43</v>
      </c>
      <c r="D17" s="76">
        <v>431.49</v>
      </c>
      <c r="E17" s="76">
        <v>447</v>
      </c>
      <c r="F17" s="76">
        <v>434</v>
      </c>
      <c r="G17" s="78">
        <v>-2.9079999999999999</v>
      </c>
    </row>
    <row r="18" spans="2:7" ht="12" customHeight="1" x14ac:dyDescent="0.25">
      <c r="B18" s="91" t="s">
        <v>71</v>
      </c>
      <c r="C18" s="25" t="s">
        <v>43</v>
      </c>
      <c r="D18" s="76">
        <v>27.725000000000001</v>
      </c>
      <c r="E18" s="76">
        <v>22</v>
      </c>
      <c r="F18" s="76">
        <v>21.7</v>
      </c>
      <c r="G18" s="78">
        <v>-1.3640000000000001</v>
      </c>
    </row>
    <row r="19" spans="2:7" ht="12" customHeight="1" x14ac:dyDescent="0.25">
      <c r="B19" s="91" t="s">
        <v>72</v>
      </c>
      <c r="C19" s="25" t="s">
        <v>43</v>
      </c>
      <c r="D19" s="76">
        <v>170.715</v>
      </c>
      <c r="E19" s="76">
        <v>175</v>
      </c>
      <c r="F19" s="76">
        <v>173</v>
      </c>
      <c r="G19" s="78">
        <v>-1.143</v>
      </c>
    </row>
    <row r="20" spans="2:7" ht="12" customHeight="1" x14ac:dyDescent="0.25">
      <c r="B20" s="49" t="s">
        <v>73</v>
      </c>
      <c r="C20" s="25" t="s">
        <v>74</v>
      </c>
      <c r="D20" s="76">
        <v>71.67</v>
      </c>
      <c r="E20" s="76">
        <v>73.5</v>
      </c>
      <c r="F20" s="76">
        <v>76.099999999999994</v>
      </c>
      <c r="G20" s="80">
        <v>3.5369999999999999</v>
      </c>
    </row>
    <row r="21" spans="2:7" ht="12" customHeight="1" x14ac:dyDescent="0.25">
      <c r="B21" s="93" t="s">
        <v>22</v>
      </c>
      <c r="C21" s="94" t="s">
        <v>17</v>
      </c>
      <c r="D21" s="81">
        <v>5968.3149999999996</v>
      </c>
      <c r="E21" s="81">
        <v>6154.32</v>
      </c>
      <c r="F21" s="76">
        <v>6289.1880000000001</v>
      </c>
      <c r="G21" s="78">
        <v>2.1909999999999998</v>
      </c>
    </row>
    <row r="22" spans="2:7" ht="12" customHeight="1" x14ac:dyDescent="0.25">
      <c r="B22" s="42" t="s">
        <v>265</v>
      </c>
      <c r="C22" s="5" t="s">
        <v>17</v>
      </c>
      <c r="D22" s="76">
        <v>3726.837</v>
      </c>
      <c r="E22" s="76">
        <v>3573.1959999999999</v>
      </c>
      <c r="F22" s="76">
        <v>3210.7860000000001</v>
      </c>
      <c r="G22" s="78">
        <v>-10.141999999999999</v>
      </c>
    </row>
    <row r="23" spans="2:7" ht="12" customHeight="1" x14ac:dyDescent="0.25">
      <c r="B23" s="54" t="s">
        <v>75</v>
      </c>
      <c r="C23" s="82"/>
      <c r="D23" s="82"/>
      <c r="E23" s="82"/>
      <c r="F23" s="82"/>
      <c r="G23" s="82"/>
    </row>
    <row r="24" spans="2:7" ht="12" customHeight="1" x14ac:dyDescent="0.25">
      <c r="B24" s="49" t="s">
        <v>76</v>
      </c>
      <c r="C24" s="25" t="s">
        <v>38</v>
      </c>
      <c r="D24" s="76">
        <v>7095.8329999999996</v>
      </c>
      <c r="E24" s="77">
        <v>6316.6670000000004</v>
      </c>
      <c r="F24" s="77">
        <v>6208.3329999999996</v>
      </c>
      <c r="G24" s="78">
        <v>-1.7150000000000001</v>
      </c>
    </row>
    <row r="25" spans="2:7" ht="12" customHeight="1" x14ac:dyDescent="0.25">
      <c r="B25" s="83" t="s">
        <v>77</v>
      </c>
      <c r="C25" s="5" t="s">
        <v>38</v>
      </c>
      <c r="D25" s="76">
        <v>4920.8329999999996</v>
      </c>
      <c r="E25" s="77">
        <v>4777.0829999999996</v>
      </c>
      <c r="F25" s="77">
        <v>4520.8329999999996</v>
      </c>
      <c r="G25" s="84">
        <v>-5.3639999999999999</v>
      </c>
    </row>
    <row r="26" spans="2:7" ht="12" customHeight="1" x14ac:dyDescent="0.25">
      <c r="B26" s="85" t="s">
        <v>72</v>
      </c>
      <c r="C26" s="70" t="s">
        <v>38</v>
      </c>
      <c r="D26" s="86">
        <v>2818.75</v>
      </c>
      <c r="E26" s="87">
        <v>2933.3330000000001</v>
      </c>
      <c r="F26" s="77">
        <v>2804.1669999999999</v>
      </c>
      <c r="G26" s="78">
        <v>-4.4029999999999996</v>
      </c>
    </row>
    <row r="27" spans="2:7" ht="12" customHeight="1" x14ac:dyDescent="0.25">
      <c r="B27" s="88" t="s">
        <v>71</v>
      </c>
      <c r="C27" s="8" t="s">
        <v>38</v>
      </c>
      <c r="D27" s="89">
        <v>3845.8330000000001</v>
      </c>
      <c r="E27" s="90">
        <v>3616.6669999999999</v>
      </c>
      <c r="F27" s="77">
        <v>3506.25</v>
      </c>
      <c r="G27" s="78">
        <v>-3.0529999999999999</v>
      </c>
    </row>
    <row r="28" spans="2:7" ht="57.75" customHeight="1" x14ac:dyDescent="0.25">
      <c r="B28" s="259" t="s">
        <v>78</v>
      </c>
      <c r="C28" s="261"/>
      <c r="D28" s="261"/>
      <c r="E28" s="261"/>
      <c r="F28" s="261"/>
      <c r="G28" s="261"/>
    </row>
  </sheetData>
  <mergeCells count="1">
    <mergeCell ref="B28:G28"/>
  </mergeCells>
  <conditionalFormatting sqref="D10:G11 D21:G21 D24:G27">
    <cfRule type="cellIs" dxfId="122" priority="1" stopIfTrue="1" operator="equal">
      <formula>0</formula>
    </cfRule>
    <cfRule type="cellIs" dxfId="121" priority="2" stopIfTrue="1" operator="lessThanOrEqual">
      <formula>-100</formula>
    </cfRule>
    <cfRule type="cellIs" dxfId="120" priority="3" stopIfTrue="1" operator="between">
      <formula>-99.999999999999</formula>
      <formula>99.999999999999</formula>
    </cfRule>
    <cfRule type="cellIs" dxfId="119" priority="4" stopIfTrue="1" operator="greaterThanOrEqual">
      <formula>100</formula>
    </cfRule>
  </conditionalFormatting>
  <conditionalFormatting sqref="D13:G22">
    <cfRule type="cellIs" dxfId="118" priority="5" stopIfTrue="1" operator="equal">
      <formula>0</formula>
    </cfRule>
    <cfRule type="cellIs" dxfId="117" priority="6" stopIfTrue="1" operator="lessThanOrEqual">
      <formula>-100</formula>
    </cfRule>
    <cfRule type="cellIs" dxfId="116" priority="7" stopIfTrue="1" operator="between">
      <formula>-99.999999999999</formula>
      <formula>99.999999999999</formula>
    </cfRule>
    <cfRule type="cellIs" dxfId="115" priority="8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F981-F52B-4F58-8524-FBEFACBC5A81}">
  <sheetPr>
    <pageSetUpPr fitToPage="1"/>
  </sheetPr>
  <dimension ref="B6:G35"/>
  <sheetViews>
    <sheetView workbookViewId="0"/>
  </sheetViews>
  <sheetFormatPr defaultColWidth="9.140625" defaultRowHeight="15" x14ac:dyDescent="0.25"/>
  <cols>
    <col min="1" max="1" width="9.140625" style="10"/>
    <col min="2" max="2" width="34.28515625" style="10" customWidth="1"/>
    <col min="3" max="3" width="7.42578125" style="10" customWidth="1"/>
    <col min="4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262" t="s">
        <v>79</v>
      </c>
      <c r="C7" s="263"/>
      <c r="D7" s="263"/>
      <c r="E7" s="263"/>
      <c r="F7" s="263"/>
      <c r="G7" s="263"/>
    </row>
    <row r="8" spans="2:7" ht="12.6" customHeight="1" x14ac:dyDescent="0.25">
      <c r="B8" s="107" t="s">
        <v>1</v>
      </c>
      <c r="C8" s="12" t="s">
        <v>2</v>
      </c>
      <c r="D8" s="108" t="s">
        <v>26</v>
      </c>
      <c r="E8" s="108" t="s">
        <v>4</v>
      </c>
      <c r="F8" s="108" t="s">
        <v>5</v>
      </c>
      <c r="G8" s="13" t="s">
        <v>6</v>
      </c>
    </row>
    <row r="9" spans="2:7" ht="12" customHeight="1" x14ac:dyDescent="0.25">
      <c r="B9" s="95" t="s">
        <v>7</v>
      </c>
      <c r="C9" s="95"/>
      <c r="D9" s="95"/>
      <c r="E9" s="95"/>
      <c r="F9" s="95"/>
      <c r="G9" s="96"/>
    </row>
    <row r="10" spans="2:7" ht="12" customHeight="1" x14ac:dyDescent="0.25">
      <c r="B10" s="97" t="s">
        <v>42</v>
      </c>
      <c r="C10" s="97"/>
      <c r="D10" s="97"/>
      <c r="E10" s="97"/>
      <c r="F10" s="97"/>
      <c r="G10" s="97"/>
    </row>
    <row r="11" spans="2:7" ht="12" customHeight="1" x14ac:dyDescent="0.25">
      <c r="B11" s="109" t="s">
        <v>80</v>
      </c>
      <c r="C11" s="110" t="s">
        <v>81</v>
      </c>
      <c r="D11" s="111">
        <v>128.48699999999999</v>
      </c>
      <c r="E11" s="111">
        <v>126.902</v>
      </c>
      <c r="F11" s="111">
        <v>126.995</v>
      </c>
      <c r="G11" s="112">
        <v>7.2999999999999995E-2</v>
      </c>
    </row>
    <row r="12" spans="2:7" ht="12" customHeight="1" x14ac:dyDescent="0.25">
      <c r="B12" s="113" t="s">
        <v>226</v>
      </c>
      <c r="C12" s="110" t="s">
        <v>81</v>
      </c>
      <c r="D12" s="111">
        <v>1192.423</v>
      </c>
      <c r="E12" s="111">
        <v>1201.6400000000001</v>
      </c>
      <c r="F12" s="111">
        <v>1243.914</v>
      </c>
      <c r="G12" s="112">
        <v>3.5179999999999998</v>
      </c>
    </row>
    <row r="13" spans="2:7" ht="12" customHeight="1" x14ac:dyDescent="0.25">
      <c r="B13" s="113" t="s">
        <v>227</v>
      </c>
      <c r="C13" s="110" t="s">
        <v>81</v>
      </c>
      <c r="D13" s="111">
        <v>753.279</v>
      </c>
      <c r="E13" s="111">
        <v>757.173</v>
      </c>
      <c r="F13" s="111">
        <v>689.452</v>
      </c>
      <c r="G13" s="112">
        <v>-8.9440000000000008</v>
      </c>
    </row>
    <row r="14" spans="2:7" ht="12" customHeight="1" x14ac:dyDescent="0.25">
      <c r="B14" s="109" t="s">
        <v>82</v>
      </c>
      <c r="C14" s="110" t="s">
        <v>81</v>
      </c>
      <c r="D14" s="111">
        <v>377.94600000000003</v>
      </c>
      <c r="E14" s="111">
        <v>450.72899999999998</v>
      </c>
      <c r="F14" s="111">
        <v>428.303</v>
      </c>
      <c r="G14" s="112">
        <v>-4.9749999999999996</v>
      </c>
    </row>
    <row r="15" spans="2:7" ht="12" customHeight="1" x14ac:dyDescent="0.25">
      <c r="B15" s="98" t="s">
        <v>83</v>
      </c>
      <c r="C15" s="110" t="s">
        <v>81</v>
      </c>
      <c r="D15" s="111">
        <v>622.59900000000005</v>
      </c>
      <c r="E15" s="111">
        <v>735.36599999999999</v>
      </c>
      <c r="F15" s="111">
        <v>812.64400000000001</v>
      </c>
      <c r="G15" s="112">
        <v>10.509</v>
      </c>
    </row>
    <row r="16" spans="2:7" ht="12" customHeight="1" x14ac:dyDescent="0.25">
      <c r="B16" s="109" t="s">
        <v>84</v>
      </c>
      <c r="C16" s="110" t="s">
        <v>81</v>
      </c>
      <c r="D16" s="111">
        <v>107.047</v>
      </c>
      <c r="E16" s="111">
        <v>108.011</v>
      </c>
      <c r="F16" s="111">
        <v>107.60899999999999</v>
      </c>
      <c r="G16" s="112">
        <v>-0.372</v>
      </c>
    </row>
    <row r="17" spans="2:7" ht="12" customHeight="1" x14ac:dyDescent="0.25">
      <c r="B17" s="109" t="s">
        <v>85</v>
      </c>
      <c r="C17" s="110" t="s">
        <v>81</v>
      </c>
      <c r="D17" s="111">
        <v>113.774</v>
      </c>
      <c r="E17" s="111">
        <v>89.379000000000005</v>
      </c>
      <c r="F17" s="111">
        <v>88.501999999999995</v>
      </c>
      <c r="G17" s="112">
        <v>-0.98099999999999998</v>
      </c>
    </row>
    <row r="18" spans="2:7" ht="12" customHeight="1" x14ac:dyDescent="0.25">
      <c r="B18" s="109" t="s">
        <v>86</v>
      </c>
      <c r="C18" s="110" t="s">
        <v>81</v>
      </c>
      <c r="D18" s="111">
        <v>20.785</v>
      </c>
      <c r="E18" s="111">
        <v>20.823</v>
      </c>
      <c r="F18" s="111">
        <v>22.001999999999999</v>
      </c>
      <c r="G18" s="112">
        <v>5.6619999999999999</v>
      </c>
    </row>
    <row r="19" spans="2:7" ht="12" customHeight="1" x14ac:dyDescent="0.25">
      <c r="B19" s="109" t="s">
        <v>87</v>
      </c>
      <c r="C19" s="110" t="s">
        <v>81</v>
      </c>
      <c r="D19" s="111">
        <v>189.22900000000001</v>
      </c>
      <c r="E19" s="111">
        <v>191.148</v>
      </c>
      <c r="F19" s="111">
        <v>200.09</v>
      </c>
      <c r="G19" s="112">
        <v>4.6779999999999999</v>
      </c>
    </row>
    <row r="20" spans="2:7" ht="12" customHeight="1" x14ac:dyDescent="0.25">
      <c r="B20" s="109" t="s">
        <v>88</v>
      </c>
      <c r="C20" s="110" t="s">
        <v>81</v>
      </c>
      <c r="D20" s="111">
        <v>74.591999999999999</v>
      </c>
      <c r="E20" s="111">
        <v>74.542000000000002</v>
      </c>
      <c r="F20" s="111">
        <v>74.238</v>
      </c>
      <c r="G20" s="112">
        <v>-0.40799999999999997</v>
      </c>
    </row>
    <row r="21" spans="2:7" ht="12" customHeight="1" x14ac:dyDescent="0.25">
      <c r="B21" s="109" t="s">
        <v>89</v>
      </c>
      <c r="C21" s="110" t="s">
        <v>81</v>
      </c>
      <c r="D21" s="111">
        <v>154.93299999999999</v>
      </c>
      <c r="E21" s="111">
        <v>158.76400000000001</v>
      </c>
      <c r="F21" s="111">
        <v>157.268</v>
      </c>
      <c r="G21" s="112">
        <v>-0.94199999999999995</v>
      </c>
    </row>
    <row r="22" spans="2:7" ht="12" customHeight="1" x14ac:dyDescent="0.25">
      <c r="B22" s="99" t="s">
        <v>228</v>
      </c>
      <c r="C22" s="110" t="s">
        <v>81</v>
      </c>
      <c r="D22" s="111">
        <v>59.582999999999998</v>
      </c>
      <c r="E22" s="111">
        <v>34.354999999999997</v>
      </c>
      <c r="F22" s="111">
        <v>39.557000000000002</v>
      </c>
      <c r="G22" s="112">
        <v>15.141999999999999</v>
      </c>
    </row>
    <row r="23" spans="2:7" ht="12" customHeight="1" x14ac:dyDescent="0.25">
      <c r="B23" s="100" t="s">
        <v>90</v>
      </c>
      <c r="C23" s="110" t="s">
        <v>81</v>
      </c>
      <c r="D23" s="111">
        <v>3720.0839999999998</v>
      </c>
      <c r="E23" s="111">
        <v>3874.2910000000002</v>
      </c>
      <c r="F23" s="111">
        <v>3916.3380000000002</v>
      </c>
      <c r="G23" s="112">
        <v>1.085</v>
      </c>
    </row>
    <row r="24" spans="2:7" ht="12" customHeight="1" x14ac:dyDescent="0.25">
      <c r="B24" s="101" t="s">
        <v>54</v>
      </c>
      <c r="C24" s="101"/>
      <c r="D24" s="101"/>
      <c r="E24" s="101"/>
      <c r="F24" s="101"/>
      <c r="G24" s="102"/>
    </row>
    <row r="25" spans="2:7" ht="12" customHeight="1" x14ac:dyDescent="0.25">
      <c r="B25" s="114" t="s">
        <v>80</v>
      </c>
      <c r="C25" s="110" t="s">
        <v>81</v>
      </c>
      <c r="D25" s="103">
        <v>122.08253599999999</v>
      </c>
      <c r="E25" s="103">
        <v>179.75820400000001</v>
      </c>
      <c r="F25" s="103">
        <v>144.479411</v>
      </c>
      <c r="G25" s="104">
        <v>-19.626000000000001</v>
      </c>
    </row>
    <row r="26" spans="2:7" ht="12" customHeight="1" x14ac:dyDescent="0.25">
      <c r="B26" s="114" t="s">
        <v>266</v>
      </c>
      <c r="C26" s="110" t="s">
        <v>81</v>
      </c>
      <c r="D26" s="103">
        <v>341.53657099999998</v>
      </c>
      <c r="E26" s="103">
        <v>370.46941700000002</v>
      </c>
      <c r="F26" s="103">
        <v>336.773391</v>
      </c>
      <c r="G26" s="104">
        <v>-9.0950000000000006</v>
      </c>
    </row>
    <row r="27" spans="2:7" ht="12" customHeight="1" x14ac:dyDescent="0.25">
      <c r="B27" s="114" t="s">
        <v>91</v>
      </c>
      <c r="C27" s="110" t="s">
        <v>81</v>
      </c>
      <c r="D27" s="103">
        <v>127.899485</v>
      </c>
      <c r="E27" s="103">
        <v>113.31174800000001</v>
      </c>
      <c r="F27" s="103">
        <v>102.96177499999999</v>
      </c>
      <c r="G27" s="104">
        <v>-9.1340000000000003</v>
      </c>
    </row>
    <row r="28" spans="2:7" ht="12" customHeight="1" x14ac:dyDescent="0.25">
      <c r="B28" s="105" t="s">
        <v>82</v>
      </c>
      <c r="C28" s="110" t="s">
        <v>81</v>
      </c>
      <c r="D28" s="103">
        <v>59.122718999999996</v>
      </c>
      <c r="E28" s="103">
        <v>53.392361999999999</v>
      </c>
      <c r="F28" s="103">
        <v>55.714272999999999</v>
      </c>
      <c r="G28" s="104">
        <v>4.3490000000000002</v>
      </c>
    </row>
    <row r="29" spans="2:7" ht="12" customHeight="1" x14ac:dyDescent="0.25">
      <c r="B29" s="105" t="s">
        <v>92</v>
      </c>
      <c r="C29" s="110" t="s">
        <v>81</v>
      </c>
      <c r="D29" s="103">
        <v>652.169622</v>
      </c>
      <c r="E29" s="103">
        <v>752.91866700000003</v>
      </c>
      <c r="F29" s="103">
        <v>864.88474800000006</v>
      </c>
      <c r="G29" s="104">
        <v>14.871</v>
      </c>
    </row>
    <row r="30" spans="2:7" ht="12" customHeight="1" x14ac:dyDescent="0.25">
      <c r="B30" s="105" t="s">
        <v>84</v>
      </c>
      <c r="C30" s="110" t="s">
        <v>81</v>
      </c>
      <c r="D30" s="103">
        <v>14.977212999999999</v>
      </c>
      <c r="E30" s="103">
        <v>11.182335999999999</v>
      </c>
      <c r="F30" s="103">
        <v>16.821417</v>
      </c>
      <c r="G30" s="104">
        <v>50.427999999999997</v>
      </c>
    </row>
    <row r="31" spans="2:7" ht="12" customHeight="1" x14ac:dyDescent="0.25">
      <c r="B31" s="109" t="s">
        <v>93</v>
      </c>
      <c r="C31" s="110" t="s">
        <v>81</v>
      </c>
      <c r="D31" s="103">
        <v>93.573033999999993</v>
      </c>
      <c r="E31" s="103">
        <v>86.002823000000006</v>
      </c>
      <c r="F31" s="103">
        <v>71.582813000000002</v>
      </c>
      <c r="G31" s="104">
        <v>-16.766999999999999</v>
      </c>
    </row>
    <row r="32" spans="2:7" ht="12" customHeight="1" x14ac:dyDescent="0.25">
      <c r="B32" s="106" t="s">
        <v>94</v>
      </c>
      <c r="C32" s="110" t="s">
        <v>81</v>
      </c>
      <c r="D32" s="103">
        <v>39.119064000000002</v>
      </c>
      <c r="E32" s="103">
        <v>43.21557</v>
      </c>
      <c r="F32" s="103">
        <v>36.552766000000005</v>
      </c>
      <c r="G32" s="104">
        <v>-15.417999999999999</v>
      </c>
    </row>
    <row r="33" spans="2:7" ht="12" customHeight="1" x14ac:dyDescent="0.25">
      <c r="B33" s="17" t="s">
        <v>95</v>
      </c>
      <c r="C33" s="110" t="s">
        <v>81</v>
      </c>
      <c r="D33" s="103">
        <v>24.247323999999999</v>
      </c>
      <c r="E33" s="103">
        <v>36.759277000000004</v>
      </c>
      <c r="F33" s="103">
        <v>31.964380000000002</v>
      </c>
      <c r="G33" s="104">
        <v>-13.044</v>
      </c>
    </row>
    <row r="34" spans="2:7" ht="12" customHeight="1" x14ac:dyDescent="0.25">
      <c r="B34" s="115" t="s">
        <v>90</v>
      </c>
      <c r="C34" s="110" t="s">
        <v>81</v>
      </c>
      <c r="D34" s="103">
        <v>1480.113053</v>
      </c>
      <c r="E34" s="103">
        <v>1647.679378</v>
      </c>
      <c r="F34" s="103">
        <v>1691.6386540000001</v>
      </c>
      <c r="G34" s="104">
        <v>2.6680000000000001</v>
      </c>
    </row>
    <row r="35" spans="2:7" ht="66.75" customHeight="1" x14ac:dyDescent="0.25">
      <c r="B35" s="259" t="s">
        <v>96</v>
      </c>
      <c r="C35" s="261"/>
      <c r="D35" s="261"/>
      <c r="E35" s="261"/>
      <c r="F35" s="261"/>
      <c r="G35" s="261"/>
    </row>
  </sheetData>
  <mergeCells count="2">
    <mergeCell ref="B7:G7"/>
    <mergeCell ref="B35:G35"/>
  </mergeCells>
  <conditionalFormatting sqref="D11:G23">
    <cfRule type="cellIs" dxfId="114" priority="5" stopIfTrue="1" operator="equal">
      <formula>0</formula>
    </cfRule>
    <cfRule type="cellIs" dxfId="113" priority="6" stopIfTrue="1" operator="lessThanOrEqual">
      <formula>-100</formula>
    </cfRule>
    <cfRule type="cellIs" dxfId="112" priority="7" stopIfTrue="1" operator="between">
      <formula>-99.999999999999</formula>
      <formula>99.999999999999</formula>
    </cfRule>
    <cfRule type="cellIs" dxfId="111" priority="8" stopIfTrue="1" operator="greaterThanOrEqual">
      <formula>100</formula>
    </cfRule>
  </conditionalFormatting>
  <conditionalFormatting sqref="D25:G34">
    <cfRule type="cellIs" dxfId="110" priority="1" stopIfTrue="1" operator="equal">
      <formula>0</formula>
    </cfRule>
    <cfRule type="cellIs" dxfId="109" priority="2" stopIfTrue="1" operator="lessThanOrEqual">
      <formula>-100</formula>
    </cfRule>
    <cfRule type="cellIs" dxfId="108" priority="3" stopIfTrue="1" operator="between">
      <formula>-99.999999999999</formula>
      <formula>99.999999999999</formula>
    </cfRule>
    <cfRule type="cellIs" dxfId="107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D087-FE9D-4F0F-A143-11F4E8A0B423}">
  <sheetPr>
    <pageSetUpPr fitToPage="1"/>
  </sheetPr>
  <dimension ref="B6:G44"/>
  <sheetViews>
    <sheetView workbookViewId="0"/>
  </sheetViews>
  <sheetFormatPr defaultColWidth="9.140625" defaultRowHeight="15" x14ac:dyDescent="0.25"/>
  <cols>
    <col min="1" max="1" width="9.140625" style="10"/>
    <col min="2" max="2" width="26.42578125" style="10" customWidth="1"/>
    <col min="3" max="3" width="7.5703125" style="10" customWidth="1"/>
    <col min="4" max="7" width="8.7109375" style="10" customWidth="1"/>
    <col min="8" max="16384" width="9.140625" style="10"/>
  </cols>
  <sheetData>
    <row r="6" spans="2:7" ht="9.75" customHeight="1" x14ac:dyDescent="0.25">
      <c r="B6" s="9"/>
      <c r="C6" s="9"/>
      <c r="D6" s="9"/>
      <c r="E6" s="9"/>
      <c r="F6" s="9"/>
      <c r="G6" s="9"/>
    </row>
    <row r="7" spans="2:7" ht="27" customHeight="1" x14ac:dyDescent="0.25">
      <c r="B7" s="262" t="s">
        <v>119</v>
      </c>
      <c r="C7" s="264"/>
      <c r="D7" s="264"/>
      <c r="E7" s="264"/>
      <c r="F7" s="264"/>
      <c r="G7" s="264"/>
    </row>
    <row r="8" spans="2:7" ht="12" customHeight="1" x14ac:dyDescent="0.25">
      <c r="B8" s="159" t="s">
        <v>1</v>
      </c>
      <c r="C8" s="160" t="s">
        <v>2</v>
      </c>
      <c r="D8" s="12" t="s">
        <v>26</v>
      </c>
      <c r="E8" s="12" t="s">
        <v>4</v>
      </c>
      <c r="F8" s="12" t="s">
        <v>5</v>
      </c>
      <c r="G8" s="13" t="s">
        <v>6</v>
      </c>
    </row>
    <row r="9" spans="2:7" ht="12" customHeight="1" x14ac:dyDescent="0.25">
      <c r="B9" s="49" t="s">
        <v>267</v>
      </c>
      <c r="C9" s="161" t="s">
        <v>8</v>
      </c>
      <c r="D9" s="145">
        <v>65.647999999999996</v>
      </c>
      <c r="E9" s="145">
        <v>66.430999999999997</v>
      </c>
      <c r="F9" s="145">
        <v>67.691000000000003</v>
      </c>
      <c r="G9" s="146">
        <v>1.897</v>
      </c>
    </row>
    <row r="10" spans="2:7" ht="12" customHeight="1" x14ac:dyDescent="0.25">
      <c r="B10" s="162" t="s">
        <v>120</v>
      </c>
      <c r="C10" s="163"/>
      <c r="D10" s="164"/>
      <c r="E10" s="164"/>
      <c r="F10" s="164"/>
      <c r="G10" s="164"/>
    </row>
    <row r="11" spans="2:7" ht="12" customHeight="1" x14ac:dyDescent="0.25">
      <c r="B11" s="49" t="s">
        <v>121</v>
      </c>
      <c r="C11" s="161" t="s">
        <v>9</v>
      </c>
      <c r="D11" s="145">
        <v>26060</v>
      </c>
      <c r="E11" s="145">
        <v>22075.3</v>
      </c>
      <c r="F11" s="145">
        <v>22950</v>
      </c>
      <c r="G11" s="146">
        <v>3.9620000000000002</v>
      </c>
    </row>
    <row r="12" spans="2:7" ht="10.5" customHeight="1" x14ac:dyDescent="0.25">
      <c r="B12" s="49" t="s">
        <v>122</v>
      </c>
      <c r="C12" s="161" t="s">
        <v>9</v>
      </c>
      <c r="D12" s="145">
        <v>11740.7</v>
      </c>
      <c r="E12" s="145">
        <v>8045.4</v>
      </c>
      <c r="F12" s="145">
        <v>7467</v>
      </c>
      <c r="G12" s="146">
        <v>-7.1890000000000001</v>
      </c>
    </row>
    <row r="13" spans="2:7" ht="15" customHeight="1" x14ac:dyDescent="0.25">
      <c r="B13" s="127" t="s">
        <v>268</v>
      </c>
      <c r="C13" s="147" t="s">
        <v>11</v>
      </c>
      <c r="D13" s="145">
        <v>919.30600000000004</v>
      </c>
      <c r="E13" s="145">
        <v>764.52300000000002</v>
      </c>
      <c r="F13" s="145">
        <v>764.10400000000004</v>
      </c>
      <c r="G13" s="146">
        <v>-5.5E-2</v>
      </c>
    </row>
    <row r="14" spans="2:7" ht="12" customHeight="1" x14ac:dyDescent="0.25">
      <c r="B14" s="49" t="s">
        <v>276</v>
      </c>
      <c r="C14" s="147" t="s">
        <v>12</v>
      </c>
      <c r="D14" s="145">
        <v>6.1529999999999996</v>
      </c>
      <c r="E14" s="145">
        <v>5.2</v>
      </c>
      <c r="F14" s="145">
        <v>4.7519999999999998</v>
      </c>
      <c r="G14" s="146">
        <v>-8.6120000000000001</v>
      </c>
    </row>
    <row r="15" spans="2:7" ht="12" customHeight="1" x14ac:dyDescent="0.25">
      <c r="B15" s="162" t="s">
        <v>54</v>
      </c>
      <c r="C15" s="148"/>
      <c r="D15" s="149"/>
      <c r="E15" s="149"/>
      <c r="F15" s="149"/>
      <c r="G15" s="149"/>
    </row>
    <row r="16" spans="2:7" ht="12" customHeight="1" x14ac:dyDescent="0.25">
      <c r="B16" s="42" t="s">
        <v>123</v>
      </c>
      <c r="C16" s="147"/>
      <c r="D16" s="145"/>
      <c r="E16" s="145"/>
      <c r="F16" s="145"/>
      <c r="G16" s="146"/>
    </row>
    <row r="17" spans="2:7" ht="12" customHeight="1" x14ac:dyDescent="0.25">
      <c r="B17" s="150" t="s">
        <v>124</v>
      </c>
      <c r="C17" s="147" t="s">
        <v>15</v>
      </c>
      <c r="D17" s="145">
        <v>651.23</v>
      </c>
      <c r="E17" s="145">
        <v>537.66200000000003</v>
      </c>
      <c r="F17" s="145">
        <v>534.22500000000002</v>
      </c>
      <c r="G17" s="146">
        <v>-0.63900000000000001</v>
      </c>
    </row>
    <row r="18" spans="2:7" ht="12" customHeight="1" x14ac:dyDescent="0.25">
      <c r="B18" s="150" t="s">
        <v>125</v>
      </c>
      <c r="C18" s="147" t="s">
        <v>81</v>
      </c>
      <c r="D18" s="145">
        <v>5663.7449999999999</v>
      </c>
      <c r="E18" s="145">
        <v>5979.5150000000003</v>
      </c>
      <c r="F18" s="145">
        <v>5868.3689999999997</v>
      </c>
      <c r="G18" s="146">
        <v>-1.859</v>
      </c>
    </row>
    <row r="19" spans="2:7" ht="12" customHeight="1" x14ac:dyDescent="0.25">
      <c r="B19" s="49" t="s">
        <v>126</v>
      </c>
      <c r="C19" s="9"/>
      <c r="D19" s="145"/>
      <c r="E19" s="145"/>
      <c r="F19" s="145"/>
      <c r="G19" s="146"/>
    </row>
    <row r="20" spans="2:7" ht="12" customHeight="1" x14ac:dyDescent="0.25">
      <c r="B20" s="150" t="s">
        <v>269</v>
      </c>
      <c r="C20" s="147" t="s">
        <v>9</v>
      </c>
      <c r="D20" s="145">
        <v>443.54599999999999</v>
      </c>
      <c r="E20" s="145">
        <v>76.531000000000006</v>
      </c>
      <c r="F20" s="145">
        <v>65</v>
      </c>
      <c r="G20" s="146">
        <v>-15.067</v>
      </c>
    </row>
    <row r="21" spans="2:7" ht="12" customHeight="1" x14ac:dyDescent="0.25">
      <c r="B21" s="150" t="s">
        <v>277</v>
      </c>
      <c r="C21" s="147" t="s">
        <v>81</v>
      </c>
      <c r="D21" s="145">
        <v>55.877000000000002</v>
      </c>
      <c r="E21" s="145">
        <v>19.02</v>
      </c>
      <c r="F21" s="145">
        <v>15.593999999999999</v>
      </c>
      <c r="G21" s="146">
        <v>-18.009</v>
      </c>
    </row>
    <row r="22" spans="2:7" ht="12" customHeight="1" x14ac:dyDescent="0.25">
      <c r="B22" s="162" t="s">
        <v>127</v>
      </c>
      <c r="C22" s="165"/>
      <c r="D22" s="166"/>
      <c r="E22" s="166"/>
      <c r="F22" s="166"/>
      <c r="G22" s="166"/>
    </row>
    <row r="23" spans="2:7" ht="12" customHeight="1" x14ac:dyDescent="0.25">
      <c r="B23" s="49" t="s">
        <v>128</v>
      </c>
      <c r="C23" s="161" t="s">
        <v>129</v>
      </c>
      <c r="D23" s="145">
        <v>829.75900000000001</v>
      </c>
      <c r="E23" s="145">
        <v>1142.345</v>
      </c>
      <c r="F23" s="145">
        <v>1090</v>
      </c>
      <c r="G23" s="146">
        <v>-4.5819999999999999</v>
      </c>
    </row>
    <row r="24" spans="2:7" ht="12" customHeight="1" x14ac:dyDescent="0.25">
      <c r="B24" s="49" t="s">
        <v>130</v>
      </c>
      <c r="C24" s="167" t="s">
        <v>129</v>
      </c>
      <c r="D24" s="145">
        <v>414.83699999999999</v>
      </c>
      <c r="E24" s="145">
        <v>765.72299999999996</v>
      </c>
      <c r="F24" s="145">
        <v>704</v>
      </c>
      <c r="G24" s="151">
        <v>-8.0609999999999999</v>
      </c>
    </row>
    <row r="25" spans="2:7" ht="12" customHeight="1" x14ac:dyDescent="0.25">
      <c r="B25" s="162" t="s">
        <v>131</v>
      </c>
      <c r="C25" s="167"/>
      <c r="D25" s="152"/>
      <c r="E25" s="152"/>
      <c r="F25" s="152"/>
      <c r="G25" s="153"/>
    </row>
    <row r="26" spans="2:7" ht="12" customHeight="1" x14ac:dyDescent="0.25">
      <c r="B26" s="154" t="s">
        <v>132</v>
      </c>
      <c r="C26" s="167" t="s">
        <v>8</v>
      </c>
      <c r="D26" s="152">
        <v>63</v>
      </c>
      <c r="E26" s="152">
        <v>59.2</v>
      </c>
      <c r="F26" s="152">
        <v>59.9</v>
      </c>
      <c r="G26" s="153">
        <v>1.1819999999999999</v>
      </c>
    </row>
    <row r="27" spans="2:7" ht="12" customHeight="1" x14ac:dyDescent="0.25">
      <c r="B27" s="154" t="s">
        <v>133</v>
      </c>
      <c r="C27" s="167"/>
      <c r="D27" s="152"/>
      <c r="E27" s="152"/>
      <c r="F27" s="152"/>
      <c r="G27" s="153"/>
    </row>
    <row r="28" spans="2:7" ht="12" customHeight="1" x14ac:dyDescent="0.25">
      <c r="B28" s="155" t="s">
        <v>134</v>
      </c>
      <c r="C28" s="167" t="s">
        <v>43</v>
      </c>
      <c r="D28" s="145">
        <v>280.10000000000002</v>
      </c>
      <c r="E28" s="145">
        <v>256.14499999999998</v>
      </c>
      <c r="F28" s="145">
        <v>268.22000000000003</v>
      </c>
      <c r="G28" s="153">
        <v>4.7140000000000004</v>
      </c>
    </row>
    <row r="29" spans="2:7" ht="12" customHeight="1" x14ac:dyDescent="0.25">
      <c r="B29" s="155" t="s">
        <v>270</v>
      </c>
      <c r="C29" s="167" t="s">
        <v>43</v>
      </c>
      <c r="D29" s="145">
        <v>417.73399999999998</v>
      </c>
      <c r="E29" s="145">
        <v>382.90199999999999</v>
      </c>
      <c r="F29" s="145">
        <v>365.32</v>
      </c>
      <c r="G29" s="153">
        <v>-4.5919999999999996</v>
      </c>
    </row>
    <row r="30" spans="2:7" ht="12" customHeight="1" x14ac:dyDescent="0.25">
      <c r="B30" s="162" t="s">
        <v>54</v>
      </c>
      <c r="C30" s="167"/>
      <c r="D30" s="152"/>
      <c r="E30" s="152"/>
      <c r="F30" s="152"/>
      <c r="G30" s="153"/>
    </row>
    <row r="31" spans="2:7" ht="12" customHeight="1" x14ac:dyDescent="0.25">
      <c r="B31" s="154" t="s">
        <v>135</v>
      </c>
      <c r="C31" s="167"/>
      <c r="D31" s="152"/>
      <c r="E31" s="152"/>
      <c r="F31" s="152"/>
      <c r="G31" s="153"/>
    </row>
    <row r="32" spans="2:7" ht="12" customHeight="1" x14ac:dyDescent="0.25">
      <c r="B32" s="155" t="s">
        <v>136</v>
      </c>
      <c r="C32" s="167" t="s">
        <v>43</v>
      </c>
      <c r="D32" s="156">
        <v>283.34899999999999</v>
      </c>
      <c r="E32" s="152">
        <v>268.96300000000002</v>
      </c>
      <c r="F32" s="152">
        <v>264</v>
      </c>
      <c r="G32" s="153">
        <v>-1.845</v>
      </c>
    </row>
    <row r="33" spans="2:7" ht="12" customHeight="1" x14ac:dyDescent="0.25">
      <c r="B33" s="155" t="s">
        <v>125</v>
      </c>
      <c r="C33" s="167" t="s">
        <v>17</v>
      </c>
      <c r="D33" s="152">
        <v>2404.1370000000002</v>
      </c>
      <c r="E33" s="152">
        <v>2922.1849999999999</v>
      </c>
      <c r="F33" s="152">
        <v>3242.297</v>
      </c>
      <c r="G33" s="153">
        <v>10.955</v>
      </c>
    </row>
    <row r="34" spans="2:7" ht="12" customHeight="1" x14ac:dyDescent="0.25">
      <c r="B34" s="154" t="s">
        <v>137</v>
      </c>
      <c r="C34" s="167"/>
      <c r="D34" s="152"/>
      <c r="E34" s="152"/>
      <c r="F34" s="152"/>
      <c r="G34" s="153"/>
    </row>
    <row r="35" spans="2:7" ht="12" customHeight="1" x14ac:dyDescent="0.25">
      <c r="B35" s="155" t="s">
        <v>271</v>
      </c>
      <c r="C35" s="5" t="s">
        <v>138</v>
      </c>
      <c r="D35" s="156">
        <v>430.411</v>
      </c>
      <c r="E35" s="152">
        <v>400.92200000000003</v>
      </c>
      <c r="F35" s="152">
        <v>365</v>
      </c>
      <c r="G35" s="153">
        <v>-8.9600000000000009</v>
      </c>
    </row>
    <row r="36" spans="2:7" ht="12" customHeight="1" x14ac:dyDescent="0.25">
      <c r="B36" s="155" t="s">
        <v>272</v>
      </c>
      <c r="C36" s="167" t="s">
        <v>17</v>
      </c>
      <c r="D36" s="152">
        <v>2757.51</v>
      </c>
      <c r="E36" s="152">
        <v>3272.183</v>
      </c>
      <c r="F36" s="152">
        <v>3537.2289999999998</v>
      </c>
      <c r="G36" s="153">
        <v>8.1</v>
      </c>
    </row>
    <row r="37" spans="2:7" ht="12" customHeight="1" x14ac:dyDescent="0.25">
      <c r="B37" s="162" t="s">
        <v>19</v>
      </c>
      <c r="C37" s="167"/>
      <c r="D37" s="152"/>
      <c r="E37" s="152"/>
      <c r="F37" s="152"/>
      <c r="G37" s="153"/>
    </row>
    <row r="38" spans="2:7" ht="12" customHeight="1" x14ac:dyDescent="0.25">
      <c r="B38" s="49" t="s">
        <v>273</v>
      </c>
      <c r="C38" s="167" t="s">
        <v>139</v>
      </c>
      <c r="D38" s="152">
        <v>1163.5260000000001</v>
      </c>
      <c r="E38" s="152">
        <v>1595.182</v>
      </c>
      <c r="F38" s="152">
        <v>1840</v>
      </c>
      <c r="G38" s="153">
        <v>15.347</v>
      </c>
    </row>
    <row r="39" spans="2:7" ht="12" customHeight="1" x14ac:dyDescent="0.25">
      <c r="B39" s="168" t="s">
        <v>22</v>
      </c>
      <c r="C39" s="167"/>
      <c r="D39" s="152"/>
      <c r="E39" s="152"/>
      <c r="F39" s="152"/>
      <c r="G39" s="157"/>
    </row>
    <row r="40" spans="2:7" ht="12" customHeight="1" x14ac:dyDescent="0.25">
      <c r="B40" s="42" t="s">
        <v>140</v>
      </c>
      <c r="C40" s="158" t="s">
        <v>17</v>
      </c>
      <c r="D40" s="145">
        <v>1072.251</v>
      </c>
      <c r="E40" s="152">
        <v>1429.6590000000001</v>
      </c>
      <c r="F40" s="152">
        <v>1224.125</v>
      </c>
      <c r="G40" s="157">
        <v>-14.375999999999999</v>
      </c>
    </row>
    <row r="41" spans="2:7" ht="12" customHeight="1" x14ac:dyDescent="0.25">
      <c r="B41" s="42" t="s">
        <v>224</v>
      </c>
      <c r="C41" s="158" t="s">
        <v>17</v>
      </c>
      <c r="D41" s="152">
        <v>4544.3729999999996</v>
      </c>
      <c r="E41" s="152">
        <v>5636.9359999999997</v>
      </c>
      <c r="F41" s="152">
        <v>5622.0649999999996</v>
      </c>
      <c r="G41" s="157">
        <v>-0.26400000000000001</v>
      </c>
    </row>
    <row r="42" spans="2:7" ht="12" customHeight="1" x14ac:dyDescent="0.25">
      <c r="B42" s="42" t="s">
        <v>274</v>
      </c>
      <c r="C42" s="158" t="s">
        <v>17</v>
      </c>
      <c r="D42" s="145">
        <v>55.877000000000002</v>
      </c>
      <c r="E42" s="145">
        <v>19.02</v>
      </c>
      <c r="F42" s="145">
        <v>15.593999999999999</v>
      </c>
      <c r="G42" s="157">
        <v>-18.009</v>
      </c>
    </row>
    <row r="43" spans="2:7" ht="12" customHeight="1" x14ac:dyDescent="0.25">
      <c r="B43" s="169" t="s">
        <v>275</v>
      </c>
      <c r="C43" s="158" t="s">
        <v>17</v>
      </c>
      <c r="D43" s="152">
        <v>2405.2170000000001</v>
      </c>
      <c r="E43" s="152">
        <v>2924.3040000000001</v>
      </c>
      <c r="F43" s="152">
        <v>3397.366</v>
      </c>
      <c r="G43" s="157">
        <v>16.177</v>
      </c>
    </row>
    <row r="44" spans="2:7" ht="69" customHeight="1" x14ac:dyDescent="0.25">
      <c r="B44" s="265" t="s">
        <v>141</v>
      </c>
      <c r="C44" s="261"/>
      <c r="D44" s="261"/>
      <c r="E44" s="261"/>
      <c r="F44" s="261"/>
      <c r="G44" s="261"/>
    </row>
  </sheetData>
  <mergeCells count="2">
    <mergeCell ref="B7:G7"/>
    <mergeCell ref="B44:G44"/>
  </mergeCells>
  <conditionalFormatting sqref="B13">
    <cfRule type="cellIs" dxfId="106" priority="4" stopIfTrue="1" operator="equal">
      <formula>0</formula>
    </cfRule>
    <cfRule type="cellIs" dxfId="105" priority="5" stopIfTrue="1" operator="lessThanOrEqual">
      <formula>-100</formula>
    </cfRule>
    <cfRule type="cellIs" dxfId="104" priority="6" stopIfTrue="1" operator="between">
      <formula>-99.999999999999</formula>
      <formula>99.999999999999</formula>
    </cfRule>
    <cfRule type="cellIs" dxfId="103" priority="7" stopIfTrue="1" operator="greaterThanOrEqual">
      <formula>100</formula>
    </cfRule>
  </conditionalFormatting>
  <conditionalFormatting sqref="B16:B18">
    <cfRule type="cellIs" dxfId="102" priority="20" stopIfTrue="1" operator="equal">
      <formula>0</formula>
    </cfRule>
    <cfRule type="cellIs" dxfId="101" priority="21" stopIfTrue="1" operator="lessThanOrEqual">
      <formula>-100</formula>
    </cfRule>
    <cfRule type="cellIs" dxfId="100" priority="22" stopIfTrue="1" operator="between">
      <formula>-99.999999999999</formula>
      <formula>99.999999999999</formula>
    </cfRule>
    <cfRule type="cellIs" dxfId="99" priority="23" stopIfTrue="1" operator="greaterThanOrEqual">
      <formula>100</formula>
    </cfRule>
  </conditionalFormatting>
  <conditionalFormatting sqref="B26:B29">
    <cfRule type="cellIs" dxfId="98" priority="28" stopIfTrue="1" operator="equal">
      <formula>0</formula>
    </cfRule>
    <cfRule type="cellIs" dxfId="97" priority="29" stopIfTrue="1" operator="lessThanOrEqual">
      <formula>-100</formula>
    </cfRule>
    <cfRule type="cellIs" dxfId="96" priority="30" stopIfTrue="1" operator="between">
      <formula>-99.999999999999</formula>
      <formula>99.999999999999</formula>
    </cfRule>
    <cfRule type="cellIs" dxfId="95" priority="31" stopIfTrue="1" operator="greaterThanOrEqual">
      <formula>100</formula>
    </cfRule>
  </conditionalFormatting>
  <conditionalFormatting sqref="B31:B36">
    <cfRule type="cellIs" dxfId="94" priority="12" stopIfTrue="1" operator="equal">
      <formula>0</formula>
    </cfRule>
    <cfRule type="cellIs" dxfId="93" priority="13" stopIfTrue="1" operator="lessThanOrEqual">
      <formula>-100</formula>
    </cfRule>
    <cfRule type="cellIs" dxfId="92" priority="14" stopIfTrue="1" operator="between">
      <formula>-99.999999999999</formula>
      <formula>99.999999999999</formula>
    </cfRule>
    <cfRule type="cellIs" dxfId="91" priority="15" stopIfTrue="1" operator="greaterThanOrEqual">
      <formula>100</formula>
    </cfRule>
  </conditionalFormatting>
  <conditionalFormatting sqref="B39:B43">
    <cfRule type="cellIs" dxfId="90" priority="8" stopIfTrue="1" operator="equal">
      <formula>0</formula>
    </cfRule>
    <cfRule type="cellIs" dxfId="89" priority="9" stopIfTrue="1" operator="lessThanOrEqual">
      <formula>-100</formula>
    </cfRule>
    <cfRule type="cellIs" dxfId="88" priority="10" stopIfTrue="1" operator="between">
      <formula>-99.999999999999</formula>
      <formula>99.999999999999</formula>
    </cfRule>
    <cfRule type="cellIs" dxfId="87" priority="11" stopIfTrue="1" operator="greaterThanOrEqual">
      <formula>100</formula>
    </cfRule>
  </conditionalFormatting>
  <conditionalFormatting sqref="B6:G7 D19:G19 B44:G44">
    <cfRule type="cellIs" dxfId="86" priority="32" stopIfTrue="1" operator="equal">
      <formula>0</formula>
    </cfRule>
    <cfRule type="cellIs" dxfId="85" priority="33" stopIfTrue="1" operator="lessThanOrEqual">
      <formula>-100</formula>
    </cfRule>
    <cfRule type="cellIs" dxfId="84" priority="34" stopIfTrue="1" operator="between">
      <formula>-99.999999999999</formula>
      <formula>99.999999999999</formula>
    </cfRule>
    <cfRule type="cellIs" dxfId="83" priority="35" stopIfTrue="1" operator="greaterThanOrEqual">
      <formula>100</formula>
    </cfRule>
  </conditionalFormatting>
  <conditionalFormatting sqref="C35">
    <cfRule type="cellIs" dxfId="82" priority="1" stopIfTrue="1" operator="lessThanOrEqual">
      <formula>-100</formula>
    </cfRule>
    <cfRule type="cellIs" dxfId="81" priority="2" stopIfTrue="1" operator="between">
      <formula>-99.999999999999</formula>
      <formula>99.999999999999</formula>
    </cfRule>
    <cfRule type="cellIs" dxfId="80" priority="3" stopIfTrue="1" operator="greaterThanOrEqual">
      <formula>100</formula>
    </cfRule>
  </conditionalFormatting>
  <conditionalFormatting sqref="C8:G18 B20:B21 C20:G34 D35:G35 C36:G43">
    <cfRule type="cellIs" dxfId="79" priority="24" stopIfTrue="1" operator="equal">
      <formula>0</formula>
    </cfRule>
    <cfRule type="cellIs" dxfId="78" priority="25" stopIfTrue="1" operator="lessThanOrEqual">
      <formula>-100</formula>
    </cfRule>
    <cfRule type="cellIs" dxfId="77" priority="26" stopIfTrue="1" operator="between">
      <formula>-99.999999999999</formula>
      <formula>99.999999999999</formula>
    </cfRule>
    <cfRule type="cellIs" dxfId="76" priority="27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4B20-D63B-4ACE-9C91-EB710303F502}">
  <sheetPr>
    <pageSetUpPr fitToPage="1"/>
  </sheetPr>
  <dimension ref="B6:G30"/>
  <sheetViews>
    <sheetView workbookViewId="0"/>
  </sheetViews>
  <sheetFormatPr defaultColWidth="9.140625" defaultRowHeight="15" x14ac:dyDescent="0.25"/>
  <cols>
    <col min="1" max="1" width="9.140625" style="10"/>
    <col min="2" max="2" width="25" style="10" customWidth="1"/>
    <col min="3" max="3" width="7.5703125" style="10" customWidth="1"/>
    <col min="4" max="7" width="10" style="10" customWidth="1"/>
    <col min="8" max="16384" width="9.140625" style="10"/>
  </cols>
  <sheetData>
    <row r="6" spans="2:7" ht="10.5" customHeight="1" x14ac:dyDescent="0.25">
      <c r="B6" s="9"/>
      <c r="C6" s="9"/>
      <c r="D6" s="43"/>
      <c r="E6" s="43"/>
      <c r="F6" s="43"/>
      <c r="G6" s="9"/>
    </row>
    <row r="7" spans="2:7" ht="24" customHeight="1" x14ac:dyDescent="0.25">
      <c r="B7" s="266" t="s">
        <v>156</v>
      </c>
      <c r="C7" s="267"/>
      <c r="D7" s="267"/>
      <c r="E7" s="267"/>
      <c r="F7" s="267"/>
      <c r="G7" s="267"/>
    </row>
    <row r="8" spans="2:7" ht="12.6" customHeight="1" x14ac:dyDescent="0.25">
      <c r="B8" s="51" t="s">
        <v>25</v>
      </c>
      <c r="C8" s="3" t="s">
        <v>2</v>
      </c>
      <c r="D8" s="3" t="s">
        <v>26</v>
      </c>
      <c r="E8" s="3" t="s">
        <v>4</v>
      </c>
      <c r="F8" s="3" t="s">
        <v>5</v>
      </c>
      <c r="G8" s="52" t="s">
        <v>6</v>
      </c>
    </row>
    <row r="9" spans="2:7" ht="12" customHeight="1" x14ac:dyDescent="0.25">
      <c r="B9" s="54" t="s">
        <v>27</v>
      </c>
      <c r="C9" s="82"/>
      <c r="D9" s="82"/>
      <c r="E9" s="82"/>
      <c r="F9" s="82"/>
      <c r="G9" s="82" t="s">
        <v>110</v>
      </c>
    </row>
    <row r="10" spans="2:7" ht="12" customHeight="1" x14ac:dyDescent="0.25">
      <c r="B10" s="42" t="s">
        <v>42</v>
      </c>
      <c r="C10" s="58" t="s">
        <v>29</v>
      </c>
      <c r="D10" s="194">
        <v>686.95600000000002</v>
      </c>
      <c r="E10" s="194">
        <v>700.61300000000006</v>
      </c>
      <c r="F10" s="194">
        <v>721.02</v>
      </c>
      <c r="G10" s="182">
        <v>2.9129999999999998</v>
      </c>
    </row>
    <row r="11" spans="2:7" ht="12" customHeight="1" x14ac:dyDescent="0.25">
      <c r="B11" s="42" t="s">
        <v>32</v>
      </c>
      <c r="C11" s="58" t="s">
        <v>29</v>
      </c>
      <c r="D11" s="183">
        <v>672.13599999999997</v>
      </c>
      <c r="E11" s="183">
        <v>697.71600000000001</v>
      </c>
      <c r="F11" s="183">
        <v>718.15499999999997</v>
      </c>
      <c r="G11" s="182">
        <v>2.9289999999999998</v>
      </c>
    </row>
    <row r="12" spans="2:7" ht="12" customHeight="1" x14ac:dyDescent="0.25">
      <c r="B12" s="57" t="s">
        <v>157</v>
      </c>
      <c r="C12" s="58" t="s">
        <v>29</v>
      </c>
      <c r="D12" s="183">
        <v>382.54199999999997</v>
      </c>
      <c r="E12" s="183">
        <v>402.517</v>
      </c>
      <c r="F12" s="184">
        <v>407.69</v>
      </c>
      <c r="G12" s="182">
        <v>1.2849999999999999</v>
      </c>
    </row>
    <row r="13" spans="2:7" ht="12" customHeight="1" x14ac:dyDescent="0.25">
      <c r="B13" s="57" t="s">
        <v>158</v>
      </c>
      <c r="C13" s="58" t="s">
        <v>29</v>
      </c>
      <c r="D13" s="183">
        <v>224.05600000000001</v>
      </c>
      <c r="E13" s="183">
        <v>231.202</v>
      </c>
      <c r="F13" s="183">
        <v>242.76400000000001</v>
      </c>
      <c r="G13" s="182">
        <v>5.0010000000000003</v>
      </c>
    </row>
    <row r="14" spans="2:7" ht="12" customHeight="1" x14ac:dyDescent="0.25">
      <c r="B14" s="42" t="s">
        <v>46</v>
      </c>
      <c r="C14" s="58" t="s">
        <v>29</v>
      </c>
      <c r="D14" s="183">
        <v>213.33199999999999</v>
      </c>
      <c r="E14" s="183">
        <v>216.67599999999999</v>
      </c>
      <c r="F14" s="183">
        <v>218.62700000000001</v>
      </c>
      <c r="G14" s="185">
        <v>0.9</v>
      </c>
    </row>
    <row r="15" spans="2:7" ht="12" customHeight="1" x14ac:dyDescent="0.25">
      <c r="B15" s="83" t="s">
        <v>34</v>
      </c>
      <c r="C15" s="58" t="s">
        <v>29</v>
      </c>
      <c r="D15" s="183">
        <v>144.37200000000001</v>
      </c>
      <c r="E15" s="183">
        <v>145.70699999999999</v>
      </c>
      <c r="F15" s="183">
        <v>146.292</v>
      </c>
      <c r="G15" s="182">
        <v>0.40100000000000002</v>
      </c>
    </row>
    <row r="16" spans="2:7" ht="12" customHeight="1" x14ac:dyDescent="0.25">
      <c r="B16" s="42" t="s">
        <v>35</v>
      </c>
      <c r="C16" s="5" t="s">
        <v>36</v>
      </c>
      <c r="D16" s="183">
        <v>21.48</v>
      </c>
      <c r="E16" s="183">
        <v>20.882999999999999</v>
      </c>
      <c r="F16" s="183">
        <v>20.370999999999999</v>
      </c>
      <c r="G16" s="186" t="s">
        <v>37</v>
      </c>
    </row>
    <row r="17" spans="2:7" ht="12" customHeight="1" x14ac:dyDescent="0.25">
      <c r="B17" s="83" t="s">
        <v>278</v>
      </c>
      <c r="C17" s="5" t="s">
        <v>38</v>
      </c>
      <c r="D17" s="183">
        <v>412.05900000000003</v>
      </c>
      <c r="E17" s="183">
        <v>438.90899999999999</v>
      </c>
      <c r="F17" s="183">
        <v>455</v>
      </c>
      <c r="G17" s="182">
        <v>3.6659999999999999</v>
      </c>
    </row>
    <row r="18" spans="2:7" ht="12" customHeight="1" x14ac:dyDescent="0.25">
      <c r="B18" s="83" t="s">
        <v>279</v>
      </c>
      <c r="C18" s="5" t="s">
        <v>38</v>
      </c>
      <c r="D18" s="183">
        <v>490.65600000000001</v>
      </c>
      <c r="E18" s="183">
        <v>518.16399999999999</v>
      </c>
      <c r="F18" s="183">
        <v>552.39599999999996</v>
      </c>
      <c r="G18" s="182">
        <v>6.6059999999999999</v>
      </c>
    </row>
    <row r="19" spans="2:7" ht="12" customHeight="1" x14ac:dyDescent="0.25">
      <c r="B19" s="54" t="s">
        <v>159</v>
      </c>
      <c r="C19" s="82"/>
      <c r="D19" s="82"/>
      <c r="E19" s="82"/>
      <c r="F19" s="82"/>
      <c r="G19" s="82"/>
    </row>
    <row r="20" spans="2:7" ht="12" customHeight="1" x14ac:dyDescent="0.25">
      <c r="B20" s="150" t="s">
        <v>160</v>
      </c>
      <c r="C20" s="150"/>
      <c r="D20" s="150"/>
      <c r="E20" s="150"/>
      <c r="F20" s="150"/>
      <c r="G20" s="42"/>
    </row>
    <row r="21" spans="2:7" ht="12" customHeight="1" x14ac:dyDescent="0.25">
      <c r="B21" s="187" t="s">
        <v>40</v>
      </c>
      <c r="C21" s="58" t="s">
        <v>41</v>
      </c>
      <c r="D21" s="183">
        <v>3438.5</v>
      </c>
      <c r="E21" s="183">
        <v>3701.8</v>
      </c>
      <c r="F21" s="183">
        <v>3779.5</v>
      </c>
      <c r="G21" s="182">
        <v>2.0990000000000002</v>
      </c>
    </row>
    <row r="22" spans="2:7" ht="12" customHeight="1" x14ac:dyDescent="0.25">
      <c r="B22" s="42" t="s">
        <v>42</v>
      </c>
      <c r="C22" s="58" t="s">
        <v>43</v>
      </c>
      <c r="D22" s="183">
        <v>6396</v>
      </c>
      <c r="E22" s="183">
        <v>7679.5</v>
      </c>
      <c r="F22" s="183">
        <v>7271.5</v>
      </c>
      <c r="G22" s="182">
        <v>-5.3129999999999997</v>
      </c>
    </row>
    <row r="23" spans="2:7" ht="12" customHeight="1" x14ac:dyDescent="0.25">
      <c r="B23" s="42" t="s">
        <v>22</v>
      </c>
      <c r="C23" s="58" t="s">
        <v>17</v>
      </c>
      <c r="D23" s="183">
        <v>4864.7809999999999</v>
      </c>
      <c r="E23" s="183">
        <v>5793.7979999999998</v>
      </c>
      <c r="F23" s="183">
        <v>5513.1589999999997</v>
      </c>
      <c r="G23" s="188">
        <v>-4.8440000000000003</v>
      </c>
    </row>
    <row r="24" spans="2:7" ht="12" customHeight="1" x14ac:dyDescent="0.25">
      <c r="B24" s="42" t="s">
        <v>45</v>
      </c>
      <c r="C24" s="58" t="s">
        <v>43</v>
      </c>
      <c r="D24" s="183">
        <v>1370.7550000000001</v>
      </c>
      <c r="E24" s="183">
        <v>1478.3230000000001</v>
      </c>
      <c r="F24" s="183">
        <v>1631.788</v>
      </c>
      <c r="G24" s="182">
        <v>10.381</v>
      </c>
    </row>
    <row r="25" spans="2:7" ht="12" customHeight="1" x14ac:dyDescent="0.25">
      <c r="B25" s="42" t="s">
        <v>54</v>
      </c>
      <c r="C25" s="9"/>
      <c r="D25" s="189"/>
      <c r="E25" s="74"/>
      <c r="F25" s="74"/>
      <c r="G25" s="190"/>
    </row>
    <row r="26" spans="2:7" ht="12" customHeight="1" x14ac:dyDescent="0.25">
      <c r="B26" s="57" t="s">
        <v>60</v>
      </c>
      <c r="C26" s="58" t="s">
        <v>43</v>
      </c>
      <c r="D26" s="183">
        <v>5287.6819999999998</v>
      </c>
      <c r="E26" s="191">
        <v>5100</v>
      </c>
      <c r="F26" s="191">
        <v>5400</v>
      </c>
      <c r="G26" s="182">
        <v>5.8819999999999997</v>
      </c>
    </row>
    <row r="27" spans="2:7" ht="12" customHeight="1" x14ac:dyDescent="0.25">
      <c r="B27" s="64" t="s">
        <v>16</v>
      </c>
      <c r="C27" s="58" t="s">
        <v>17</v>
      </c>
      <c r="D27" s="191">
        <v>4413.0450000000001</v>
      </c>
      <c r="E27" s="191">
        <v>4045.471</v>
      </c>
      <c r="F27" s="191">
        <v>4266.1149999999998</v>
      </c>
      <c r="G27" s="182">
        <v>5.4539999999999997</v>
      </c>
    </row>
    <row r="28" spans="2:7" ht="12" customHeight="1" x14ac:dyDescent="0.25">
      <c r="B28" s="83" t="s">
        <v>34</v>
      </c>
      <c r="C28" s="58" t="s">
        <v>43</v>
      </c>
      <c r="D28" s="191">
        <v>328.01</v>
      </c>
      <c r="E28" s="191">
        <v>1432.1869999999999</v>
      </c>
      <c r="F28" s="191">
        <v>1674.9</v>
      </c>
      <c r="G28" s="182">
        <v>16.946999999999999</v>
      </c>
    </row>
    <row r="29" spans="2:7" ht="12" customHeight="1" x14ac:dyDescent="0.25">
      <c r="B29" s="192" t="s">
        <v>280</v>
      </c>
      <c r="C29" s="193" t="s">
        <v>48</v>
      </c>
      <c r="D29" s="191">
        <v>758.38800000000003</v>
      </c>
      <c r="E29" s="191">
        <v>757.55799999999999</v>
      </c>
      <c r="F29" s="191">
        <v>768.17200000000003</v>
      </c>
      <c r="G29" s="182">
        <v>1.401</v>
      </c>
    </row>
    <row r="30" spans="2:7" ht="59.25" customHeight="1" x14ac:dyDescent="0.25">
      <c r="B30" s="259" t="s">
        <v>161</v>
      </c>
      <c r="C30" s="268"/>
      <c r="D30" s="268"/>
      <c r="E30" s="268"/>
      <c r="F30" s="268"/>
      <c r="G30" s="268"/>
    </row>
  </sheetData>
  <mergeCells count="2">
    <mergeCell ref="B7:G7"/>
    <mergeCell ref="B30:G30"/>
  </mergeCells>
  <conditionalFormatting sqref="B20:B28">
    <cfRule type="cellIs" dxfId="75" priority="13" stopIfTrue="1" operator="between">
      <formula>-99.999999999999</formula>
      <formula>99.999999999999</formula>
    </cfRule>
    <cfRule type="cellIs" dxfId="74" priority="11" stopIfTrue="1" operator="equal">
      <formula>0</formula>
    </cfRule>
    <cfRule type="cellIs" dxfId="73" priority="12" stopIfTrue="1" operator="lessThanOrEqual">
      <formula>-100</formula>
    </cfRule>
    <cfRule type="cellIs" dxfId="72" priority="14" stopIfTrue="1" operator="greaterThanOrEqual">
      <formula>100</formula>
    </cfRule>
  </conditionalFormatting>
  <conditionalFormatting sqref="B29">
    <cfRule type="cellIs" dxfId="71" priority="33" stopIfTrue="1" operator="between">
      <formula>-99.999999999999</formula>
      <formula>99.999999999999</formula>
    </cfRule>
    <cfRule type="cellIs" dxfId="70" priority="32" stopIfTrue="1" operator="lessThanOrEqual">
      <formula>-100</formula>
    </cfRule>
    <cfRule type="cellIs" dxfId="69" priority="31" stopIfTrue="1" operator="equal">
      <formula>0</formula>
    </cfRule>
    <cfRule type="cellIs" dxfId="68" priority="34" stopIfTrue="1" operator="greaterThanOrEqual">
      <formula>100</formula>
    </cfRule>
  </conditionalFormatting>
  <conditionalFormatting sqref="B28:C28">
    <cfRule type="cellIs" dxfId="67" priority="3" stopIfTrue="1" operator="equal">
      <formula>0</formula>
    </cfRule>
    <cfRule type="cellIs" dxfId="66" priority="4" stopIfTrue="1" operator="lessThanOrEqual">
      <formula>-100</formula>
    </cfRule>
    <cfRule type="cellIs" dxfId="65" priority="9" stopIfTrue="1" operator="between">
      <formula>-99.999999999999</formula>
      <formula>99.999999999999</formula>
    </cfRule>
    <cfRule type="cellIs" dxfId="64" priority="10" stopIfTrue="1" operator="greaterThanOrEqual">
      <formula>100</formula>
    </cfRule>
  </conditionalFormatting>
  <conditionalFormatting sqref="B29:C29">
    <cfRule type="cellIs" dxfId="63" priority="27" stopIfTrue="1" operator="equal">
      <formula>0</formula>
    </cfRule>
    <cfRule type="cellIs" dxfId="62" priority="30" stopIfTrue="1" operator="greaterThanOrEqual">
      <formula>100</formula>
    </cfRule>
    <cfRule type="cellIs" dxfId="61" priority="29" stopIfTrue="1" operator="between">
      <formula>-99.999999999999</formula>
      <formula>99.999999999999</formula>
    </cfRule>
    <cfRule type="cellIs" dxfId="60" priority="28" stopIfTrue="1" operator="lessThanOrEqual">
      <formula>-100</formula>
    </cfRule>
  </conditionalFormatting>
  <conditionalFormatting sqref="B6:G9 G10:G15 B10:C18 G17:G18 B19:G19">
    <cfRule type="cellIs" dxfId="59" priority="48" stopIfTrue="1" operator="greaterThanOrEqual">
      <formula>100</formula>
    </cfRule>
    <cfRule type="cellIs" dxfId="58" priority="47" stopIfTrue="1" operator="between">
      <formula>-99.999999999999</formula>
      <formula>99.999999999999</formula>
    </cfRule>
    <cfRule type="cellIs" dxfId="57" priority="45" stopIfTrue="1" operator="equal">
      <formula>0</formula>
    </cfRule>
    <cfRule type="cellIs" dxfId="56" priority="46" stopIfTrue="1" operator="lessThanOrEqual">
      <formula>-100</formula>
    </cfRule>
  </conditionalFormatting>
  <conditionalFormatting sqref="B6:G19 B20 B21:C24 D21:G29 B25 B26:C27">
    <cfRule type="cellIs" dxfId="55" priority="52" stopIfTrue="1" operator="greaterThanOrEqual">
      <formula>100</formula>
    </cfRule>
    <cfRule type="cellIs" dxfId="54" priority="50" stopIfTrue="1" operator="lessThanOrEqual">
      <formula>-100</formula>
    </cfRule>
    <cfRule type="cellIs" dxfId="53" priority="51" stopIfTrue="1" operator="between">
      <formula>-99.999999999999</formula>
      <formula>99.999999999999</formula>
    </cfRule>
  </conditionalFormatting>
  <conditionalFormatting sqref="B6:G19 D21:G29 B21:C24 B26:C27 B20 B25">
    <cfRule type="cellIs" dxfId="52" priority="49" stopIfTrue="1" operator="equal">
      <formula>0</formula>
    </cfRule>
  </conditionalFormatting>
  <conditionalFormatting sqref="B30:G30">
    <cfRule type="cellIs" dxfId="51" priority="24" stopIfTrue="1" operator="greaterThanOrEqual">
      <formula>100</formula>
    </cfRule>
    <cfRule type="cellIs" dxfId="50" priority="23" stopIfTrue="1" operator="between">
      <formula>-99.999999999999</formula>
      <formula>99.999999999999</formula>
    </cfRule>
    <cfRule type="cellIs" dxfId="49" priority="22" stopIfTrue="1" operator="lessThanOrEqual">
      <formula>-100</formula>
    </cfRule>
    <cfRule type="cellIs" dxfId="48" priority="21" stopIfTrue="1" operator="equal">
      <formula>0</formula>
    </cfRule>
    <cfRule type="cellIs" dxfId="47" priority="20" stopIfTrue="1" operator="greaterThanOrEqual">
      <formula>100</formula>
    </cfRule>
    <cfRule type="cellIs" dxfId="46" priority="19" stopIfTrue="1" operator="between">
      <formula>-99.999999999999</formula>
      <formula>99.999999999999</formula>
    </cfRule>
    <cfRule type="cellIs" dxfId="45" priority="18" stopIfTrue="1" operator="lessThanOrEqual">
      <formula>-100</formula>
    </cfRule>
    <cfRule type="cellIs" dxfId="44" priority="17" stopIfTrue="1" operator="equal">
      <formula>0</formula>
    </cfRule>
  </conditionalFormatting>
  <conditionalFormatting sqref="C21:C24 C26:C27 C29">
    <cfRule type="cellIs" dxfId="43" priority="26" stopIfTrue="1" operator="greaterThanOrEqual">
      <formula>100</formula>
    </cfRule>
    <cfRule type="cellIs" dxfId="42" priority="25" stopIfTrue="1" operator="between">
      <formula>-99.999999999999</formula>
      <formula>99.999999999999</formula>
    </cfRule>
  </conditionalFormatting>
  <conditionalFormatting sqref="C21:C24 C26:C29">
    <cfRule type="cellIs" dxfId="41" priority="8" stopIfTrue="1" operator="lessThanOrEqual">
      <formula>-100</formula>
    </cfRule>
  </conditionalFormatting>
  <conditionalFormatting sqref="C26:C29 C21:C24">
    <cfRule type="cellIs" dxfId="40" priority="7" stopIfTrue="1" operator="equal">
      <formula>0</formula>
    </cfRule>
  </conditionalFormatting>
  <conditionalFormatting sqref="C28">
    <cfRule type="cellIs" dxfId="39" priority="5" stopIfTrue="1" operator="between">
      <formula>-99.999999999999</formula>
      <formula>99.999999999999</formula>
    </cfRule>
    <cfRule type="cellIs" dxfId="38" priority="6" stopIfTrue="1" operator="greaterThanOrEqual">
      <formula>100</formula>
    </cfRule>
  </conditionalFormatting>
  <conditionalFormatting sqref="D26">
    <cfRule type="cellIs" dxfId="37" priority="2" operator="greaterThanOrEqual">
      <formula>100</formula>
    </cfRule>
    <cfRule type="cellIs" dxfId="36" priority="1" operator="lessThanOrEqual">
      <formula>99</formula>
    </cfRule>
  </conditionalFormatting>
  <conditionalFormatting sqref="D21:F24">
    <cfRule type="cellIs" dxfId="35" priority="15" operator="lessThanOrEqual">
      <formula>99</formula>
    </cfRule>
    <cfRule type="cellIs" dxfId="34" priority="16" operator="greaterThanOrEqual">
      <formula>100</formula>
    </cfRule>
  </conditionalFormatting>
  <conditionalFormatting sqref="D24:G29">
    <cfRule type="cellIs" dxfId="33" priority="37" stopIfTrue="1" operator="equal">
      <formula>0</formula>
    </cfRule>
    <cfRule type="cellIs" dxfId="32" priority="38" stopIfTrue="1" operator="lessThanOrEqual">
      <formula>-100</formula>
    </cfRule>
    <cfRule type="cellIs" dxfId="31" priority="39" stopIfTrue="1" operator="between">
      <formula>-99.999999999999</formula>
      <formula>99.999999999999</formula>
    </cfRule>
    <cfRule type="cellIs" dxfId="30" priority="40" stopIfTrue="1" operator="greaterThanOrEqual">
      <formula>100</formula>
    </cfRule>
  </conditionalFormatting>
  <conditionalFormatting sqref="E25:F26 D27:F29">
    <cfRule type="cellIs" dxfId="29" priority="35" operator="lessThanOrEqual">
      <formula>99</formula>
    </cfRule>
    <cfRule type="cellIs" dxfId="28" priority="36" operator="greaterThanOrEqual">
      <formula>100</formula>
    </cfRule>
  </conditionalFormatting>
  <conditionalFormatting sqref="G21:G23">
    <cfRule type="cellIs" dxfId="27" priority="41" stopIfTrue="1" operator="equal">
      <formula>0</formula>
    </cfRule>
    <cfRule type="cellIs" dxfId="26" priority="42" stopIfTrue="1" operator="lessThanOrEqual">
      <formula>-100</formula>
    </cfRule>
    <cfRule type="cellIs" dxfId="25" priority="43" stopIfTrue="1" operator="between">
      <formula>-99.999999999999</formula>
      <formula>99.999999999999</formula>
    </cfRule>
    <cfRule type="cellIs" dxfId="24" priority="4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7A31-5AF9-4943-81DF-B63B6F488DAA}">
  <sheetPr>
    <pageSetUpPr fitToPage="1"/>
  </sheetPr>
  <dimension ref="B6:G37"/>
  <sheetViews>
    <sheetView workbookViewId="0"/>
  </sheetViews>
  <sheetFormatPr defaultColWidth="9.140625" defaultRowHeight="15" x14ac:dyDescent="0.25"/>
  <cols>
    <col min="1" max="1" width="9.140625" style="10"/>
    <col min="2" max="2" width="25.5703125" style="10" customWidth="1"/>
    <col min="3" max="3" width="10.140625" style="10" customWidth="1"/>
    <col min="4" max="7" width="8.7109375" style="10" customWidth="1"/>
    <col min="8" max="16384" width="9.140625" style="10"/>
  </cols>
  <sheetData>
    <row r="6" spans="2:7" ht="9.75" customHeight="1" x14ac:dyDescent="0.25">
      <c r="B6" s="9"/>
      <c r="C6" s="9"/>
      <c r="D6" s="9"/>
      <c r="E6" s="9"/>
      <c r="F6" s="9"/>
      <c r="G6" s="9"/>
    </row>
    <row r="7" spans="2:7" ht="27" customHeight="1" x14ac:dyDescent="0.25">
      <c r="B7" s="262" t="s">
        <v>162</v>
      </c>
      <c r="C7" s="264"/>
      <c r="D7" s="264"/>
      <c r="E7" s="264"/>
      <c r="F7" s="264"/>
      <c r="G7" s="264"/>
    </row>
    <row r="8" spans="2:7" ht="12" customHeight="1" x14ac:dyDescent="0.25">
      <c r="B8" s="11" t="s">
        <v>1</v>
      </c>
      <c r="C8" s="12" t="s">
        <v>2</v>
      </c>
      <c r="D8" s="12" t="s">
        <v>26</v>
      </c>
      <c r="E8" s="12" t="s">
        <v>4</v>
      </c>
      <c r="F8" s="12" t="s">
        <v>5</v>
      </c>
      <c r="G8" s="13" t="s">
        <v>6</v>
      </c>
    </row>
    <row r="9" spans="2:7" ht="12" customHeight="1" x14ac:dyDescent="0.25">
      <c r="B9" s="170" t="s">
        <v>7</v>
      </c>
      <c r="C9" s="170"/>
      <c r="D9" s="170"/>
      <c r="E9" s="170"/>
      <c r="F9" s="170"/>
      <c r="G9" s="123"/>
    </row>
    <row r="10" spans="2:7" ht="12" customHeight="1" x14ac:dyDescent="0.25">
      <c r="B10" s="27" t="s">
        <v>120</v>
      </c>
      <c r="C10" s="28"/>
      <c r="D10" s="28"/>
      <c r="E10" s="28"/>
      <c r="F10" s="28"/>
      <c r="G10" s="28"/>
    </row>
    <row r="11" spans="2:7" ht="12" customHeight="1" x14ac:dyDescent="0.25">
      <c r="B11" s="49" t="s">
        <v>163</v>
      </c>
      <c r="C11" s="25" t="s">
        <v>9</v>
      </c>
      <c r="D11" s="195">
        <v>5758.5</v>
      </c>
      <c r="E11" s="195">
        <v>5740.8</v>
      </c>
      <c r="F11" s="195">
        <v>5884.482</v>
      </c>
      <c r="G11" s="196">
        <v>2.5030000000000001</v>
      </c>
    </row>
    <row r="12" spans="2:7" ht="12" customHeight="1" x14ac:dyDescent="0.25">
      <c r="B12" s="49" t="s">
        <v>164</v>
      </c>
      <c r="C12" s="25" t="s">
        <v>8</v>
      </c>
      <c r="D12" s="195">
        <v>752.495</v>
      </c>
      <c r="E12" s="195">
        <v>781.66700000000003</v>
      </c>
      <c r="F12" s="195">
        <v>802</v>
      </c>
      <c r="G12" s="196">
        <v>2.601</v>
      </c>
    </row>
    <row r="13" spans="2:7" ht="12" customHeight="1" x14ac:dyDescent="0.25">
      <c r="B13" s="27" t="s">
        <v>42</v>
      </c>
      <c r="C13" s="28"/>
      <c r="D13" s="28"/>
      <c r="E13" s="28"/>
      <c r="F13" s="28"/>
      <c r="G13" s="28"/>
    </row>
    <row r="14" spans="2:7" ht="12" customHeight="1" x14ac:dyDescent="0.25">
      <c r="B14" s="49" t="s">
        <v>165</v>
      </c>
      <c r="C14" s="5" t="s">
        <v>11</v>
      </c>
      <c r="D14" s="195">
        <v>472.82799999999997</v>
      </c>
      <c r="E14" s="195">
        <v>473.29899999999998</v>
      </c>
      <c r="F14" s="195">
        <v>481.2</v>
      </c>
      <c r="G14" s="196">
        <v>1.669</v>
      </c>
    </row>
    <row r="15" spans="2:7" ht="12" customHeight="1" x14ac:dyDescent="0.25">
      <c r="B15" s="49" t="s">
        <v>166</v>
      </c>
      <c r="C15" s="5" t="s">
        <v>11</v>
      </c>
      <c r="D15" s="195">
        <v>1535.133</v>
      </c>
      <c r="E15" s="195">
        <v>1587.325</v>
      </c>
      <c r="F15" s="195">
        <v>1623.73</v>
      </c>
      <c r="G15" s="196">
        <v>2.2930000000000001</v>
      </c>
    </row>
    <row r="16" spans="2:7" ht="12" customHeight="1" x14ac:dyDescent="0.25">
      <c r="B16" s="162" t="s">
        <v>167</v>
      </c>
      <c r="C16" s="9"/>
      <c r="D16" s="195"/>
      <c r="E16" s="195"/>
      <c r="F16" s="195"/>
      <c r="G16" s="196"/>
    </row>
    <row r="17" spans="2:7" ht="12" customHeight="1" x14ac:dyDescent="0.25">
      <c r="B17" s="49" t="s">
        <v>165</v>
      </c>
      <c r="C17" s="25" t="s">
        <v>12</v>
      </c>
      <c r="D17" s="195">
        <v>24.765999999999998</v>
      </c>
      <c r="E17" s="195">
        <v>23.648</v>
      </c>
      <c r="F17" s="195">
        <v>24.088999999999999</v>
      </c>
      <c r="G17" s="196">
        <v>1.8660000000000001</v>
      </c>
    </row>
    <row r="18" spans="2:7" ht="12" customHeight="1" x14ac:dyDescent="0.25">
      <c r="B18" s="49" t="s">
        <v>166</v>
      </c>
      <c r="C18" s="25" t="s">
        <v>12</v>
      </c>
      <c r="D18" s="195">
        <v>53.968000000000004</v>
      </c>
      <c r="E18" s="195">
        <v>54.188000000000002</v>
      </c>
      <c r="F18" s="195">
        <v>54.77</v>
      </c>
      <c r="G18" s="196">
        <v>1.0740000000000001</v>
      </c>
    </row>
    <row r="19" spans="2:7" ht="12" customHeight="1" x14ac:dyDescent="0.25">
      <c r="B19" s="197" t="s">
        <v>54</v>
      </c>
      <c r="C19" s="198"/>
      <c r="D19" s="198"/>
      <c r="E19" s="198"/>
      <c r="F19" s="198"/>
      <c r="G19" s="198"/>
    </row>
    <row r="20" spans="2:7" ht="12" customHeight="1" x14ac:dyDescent="0.25">
      <c r="B20" s="49" t="s">
        <v>165</v>
      </c>
      <c r="C20" s="5"/>
      <c r="D20" s="195"/>
      <c r="E20" s="195"/>
      <c r="F20" s="195"/>
      <c r="G20" s="196"/>
    </row>
    <row r="21" spans="2:7" ht="12" customHeight="1" x14ac:dyDescent="0.25">
      <c r="B21" s="57" t="s">
        <v>14</v>
      </c>
      <c r="C21" s="25" t="s">
        <v>15</v>
      </c>
      <c r="D21" s="195">
        <v>40.758000000000003</v>
      </c>
      <c r="E21" s="195">
        <v>37.517000000000003</v>
      </c>
      <c r="F21" s="195">
        <v>37.667000000000002</v>
      </c>
      <c r="G21" s="196">
        <v>0.4</v>
      </c>
    </row>
    <row r="22" spans="2:7" ht="12" customHeight="1" x14ac:dyDescent="0.25">
      <c r="B22" s="57" t="s">
        <v>16</v>
      </c>
      <c r="C22" s="5" t="s">
        <v>17</v>
      </c>
      <c r="D22" s="195">
        <v>206.827</v>
      </c>
      <c r="E22" s="195">
        <v>188.137</v>
      </c>
      <c r="F22" s="195">
        <v>179</v>
      </c>
      <c r="G22" s="196">
        <v>-4.8570000000000002</v>
      </c>
    </row>
    <row r="23" spans="2:7" ht="12" customHeight="1" x14ac:dyDescent="0.25">
      <c r="B23" s="17" t="s">
        <v>281</v>
      </c>
      <c r="C23" s="9"/>
      <c r="D23" s="195"/>
      <c r="E23" s="195"/>
      <c r="F23" s="195"/>
      <c r="G23" s="196"/>
    </row>
    <row r="24" spans="2:7" ht="12" customHeight="1" x14ac:dyDescent="0.25">
      <c r="B24" s="21" t="s">
        <v>14</v>
      </c>
      <c r="C24" s="25" t="s">
        <v>15</v>
      </c>
      <c r="D24" s="195">
        <v>44.996000000000002</v>
      </c>
      <c r="E24" s="195">
        <v>65.537999999999997</v>
      </c>
      <c r="F24" s="195">
        <v>66.72</v>
      </c>
      <c r="G24" s="196">
        <v>1.8029999999999999</v>
      </c>
    </row>
    <row r="25" spans="2:7" ht="12" customHeight="1" x14ac:dyDescent="0.25">
      <c r="B25" s="21" t="s">
        <v>16</v>
      </c>
      <c r="C25" s="5" t="s">
        <v>17</v>
      </c>
      <c r="D25" s="195">
        <v>116.113</v>
      </c>
      <c r="E25" s="195">
        <v>152.029</v>
      </c>
      <c r="F25" s="195">
        <v>161.19999999999999</v>
      </c>
      <c r="G25" s="196">
        <v>6.0330000000000004</v>
      </c>
    </row>
    <row r="26" spans="2:7" ht="12" customHeight="1" x14ac:dyDescent="0.25">
      <c r="B26" s="197" t="s">
        <v>168</v>
      </c>
      <c r="C26" s="5"/>
      <c r="D26" s="195"/>
      <c r="E26" s="195"/>
      <c r="F26" s="195"/>
      <c r="G26" s="196"/>
    </row>
    <row r="27" spans="2:7" ht="12" customHeight="1" x14ac:dyDescent="0.25">
      <c r="B27" s="49" t="s">
        <v>165</v>
      </c>
      <c r="C27" s="5"/>
      <c r="D27" s="195"/>
      <c r="E27" s="195"/>
      <c r="F27" s="195"/>
      <c r="G27" s="196"/>
    </row>
    <row r="28" spans="2:7" ht="12" customHeight="1" x14ac:dyDescent="0.25">
      <c r="B28" s="57" t="s">
        <v>14</v>
      </c>
      <c r="C28" s="25" t="s">
        <v>15</v>
      </c>
      <c r="D28" s="195">
        <v>169.62899999999999</v>
      </c>
      <c r="E28" s="195">
        <v>152.797</v>
      </c>
      <c r="F28" s="195">
        <v>159.97800000000001</v>
      </c>
      <c r="G28" s="196">
        <v>4.7</v>
      </c>
    </row>
    <row r="29" spans="2:7" ht="12" customHeight="1" x14ac:dyDescent="0.25">
      <c r="B29" s="57" t="s">
        <v>16</v>
      </c>
      <c r="C29" s="5" t="s">
        <v>17</v>
      </c>
      <c r="D29" s="195">
        <v>1011.245</v>
      </c>
      <c r="E29" s="195">
        <v>874.36400000000003</v>
      </c>
      <c r="F29" s="195">
        <v>900.59500000000003</v>
      </c>
      <c r="G29" s="196">
        <v>3</v>
      </c>
    </row>
    <row r="30" spans="2:7" ht="12" customHeight="1" x14ac:dyDescent="0.25">
      <c r="B30" s="27" t="s">
        <v>127</v>
      </c>
      <c r="C30" s="200"/>
      <c r="D30" s="200"/>
      <c r="E30" s="200"/>
      <c r="F30" s="200"/>
      <c r="G30" s="200"/>
    </row>
    <row r="31" spans="2:7" ht="12" customHeight="1" x14ac:dyDescent="0.25">
      <c r="B31" s="49" t="s">
        <v>163</v>
      </c>
      <c r="C31" s="200"/>
      <c r="D31" s="201"/>
      <c r="E31" s="201"/>
      <c r="F31" s="201"/>
      <c r="G31" s="201"/>
    </row>
    <row r="32" spans="2:7" ht="12" customHeight="1" x14ac:dyDescent="0.25">
      <c r="B32" s="57" t="s">
        <v>169</v>
      </c>
      <c r="C32" s="25" t="s">
        <v>20</v>
      </c>
      <c r="D32" s="195">
        <v>439.64600000000002</v>
      </c>
      <c r="E32" s="195">
        <v>456.31700000000001</v>
      </c>
      <c r="F32" s="195">
        <v>407.15199999999999</v>
      </c>
      <c r="G32" s="196">
        <v>-10.773999999999999</v>
      </c>
    </row>
    <row r="33" spans="2:7" ht="12" customHeight="1" x14ac:dyDescent="0.25">
      <c r="B33" s="27" t="s">
        <v>22</v>
      </c>
      <c r="C33" s="202"/>
      <c r="D33" s="8"/>
      <c r="E33" s="8"/>
      <c r="F33" s="8"/>
      <c r="G33" s="199"/>
    </row>
    <row r="34" spans="2:7" ht="12" customHeight="1" x14ac:dyDescent="0.25">
      <c r="B34" s="17" t="s">
        <v>170</v>
      </c>
      <c r="C34" s="158" t="s">
        <v>17</v>
      </c>
      <c r="D34" s="195">
        <v>2013.828</v>
      </c>
      <c r="E34" s="8">
        <v>2080.5360000000001</v>
      </c>
      <c r="F34" s="8">
        <v>1962.48</v>
      </c>
      <c r="G34" s="199">
        <v>-5.6740000000000004</v>
      </c>
    </row>
    <row r="35" spans="2:7" ht="12" customHeight="1" x14ac:dyDescent="0.25">
      <c r="B35" s="17" t="s">
        <v>282</v>
      </c>
      <c r="C35" s="158" t="s">
        <v>17</v>
      </c>
      <c r="D35" s="8">
        <v>4150.2569999999996</v>
      </c>
      <c r="E35" s="8">
        <v>4179.2939999999999</v>
      </c>
      <c r="F35" s="8">
        <v>4445.42</v>
      </c>
      <c r="G35" s="199">
        <v>6.3680000000000003</v>
      </c>
    </row>
    <row r="36" spans="2:7" ht="12" customHeight="1" x14ac:dyDescent="0.25">
      <c r="B36" s="17" t="s">
        <v>171</v>
      </c>
      <c r="C36" s="158" t="s">
        <v>17</v>
      </c>
      <c r="D36" s="8">
        <v>1387.546</v>
      </c>
      <c r="E36" s="8">
        <v>1395.5940000000001</v>
      </c>
      <c r="F36" s="8">
        <v>1402.5640000000001</v>
      </c>
      <c r="G36" s="199">
        <v>0.499</v>
      </c>
    </row>
    <row r="37" spans="2:7" ht="33.75" customHeight="1" x14ac:dyDescent="0.25">
      <c r="B37" s="259" t="s">
        <v>172</v>
      </c>
      <c r="C37" s="261"/>
      <c r="D37" s="261"/>
      <c r="E37" s="261"/>
      <c r="F37" s="261"/>
      <c r="G37" s="261"/>
    </row>
  </sheetData>
  <mergeCells count="2">
    <mergeCell ref="B7:G7"/>
    <mergeCell ref="B37:G37"/>
  </mergeCells>
  <conditionalFormatting sqref="B6:G15 B16 D16:G16 B17:G22 B23 D23:G23 B24:G37">
    <cfRule type="cellIs" dxfId="23" priority="1" stopIfTrue="1" operator="equal">
      <formula>0</formula>
    </cfRule>
    <cfRule type="cellIs" dxfId="22" priority="2" stopIfTrue="1" operator="lessThanOrEqual">
      <formula>-100</formula>
    </cfRule>
    <cfRule type="cellIs" dxfId="21" priority="3" stopIfTrue="1" operator="between">
      <formula>-99.999999999999</formula>
      <formula>99.999999999999</formula>
    </cfRule>
    <cfRule type="cellIs" dxfId="20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E83E-5640-4A24-A04A-EF88B48B7387}">
  <sheetPr>
    <pageSetUpPr fitToPage="1"/>
  </sheetPr>
  <dimension ref="B6:G25"/>
  <sheetViews>
    <sheetView workbookViewId="0"/>
  </sheetViews>
  <sheetFormatPr defaultColWidth="9.140625" defaultRowHeight="15" x14ac:dyDescent="0.25"/>
  <cols>
    <col min="1" max="1" width="9.140625" style="10"/>
    <col min="2" max="2" width="24.42578125" style="10" customWidth="1"/>
    <col min="3" max="3" width="7.140625" style="10" customWidth="1"/>
    <col min="4" max="7" width="8.7109375" style="10" customWidth="1"/>
    <col min="8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262" t="s">
        <v>173</v>
      </c>
      <c r="C7" s="264"/>
      <c r="D7" s="264"/>
      <c r="E7" s="264"/>
      <c r="F7" s="264"/>
      <c r="G7" s="264"/>
    </row>
    <row r="8" spans="2:7" ht="12.6" customHeight="1" x14ac:dyDescent="0.25">
      <c r="B8" s="51" t="s">
        <v>174</v>
      </c>
      <c r="C8" s="12" t="s">
        <v>2</v>
      </c>
      <c r="D8" s="12" t="s">
        <v>26</v>
      </c>
      <c r="E8" s="12" t="s">
        <v>4</v>
      </c>
      <c r="F8" s="12" t="s">
        <v>5</v>
      </c>
      <c r="G8" s="13" t="s">
        <v>6</v>
      </c>
    </row>
    <row r="9" spans="2:7" ht="12" customHeight="1" x14ac:dyDescent="0.25">
      <c r="B9" s="27" t="s">
        <v>220</v>
      </c>
      <c r="C9" s="200" t="s">
        <v>110</v>
      </c>
      <c r="D9" s="200"/>
      <c r="E9" s="200"/>
      <c r="F9" s="200"/>
      <c r="G9" s="200"/>
    </row>
    <row r="10" spans="2:7" ht="12" customHeight="1" x14ac:dyDescent="0.25">
      <c r="B10" s="49" t="s">
        <v>42</v>
      </c>
      <c r="C10" s="25" t="s">
        <v>29</v>
      </c>
      <c r="D10" s="189">
        <v>186.899</v>
      </c>
      <c r="E10" s="74">
        <v>192.78800000000001</v>
      </c>
      <c r="F10" s="74">
        <v>190.86</v>
      </c>
      <c r="G10" s="190">
        <v>-1</v>
      </c>
    </row>
    <row r="11" spans="2:7" ht="12" customHeight="1" x14ac:dyDescent="0.25">
      <c r="B11" s="91" t="s">
        <v>175</v>
      </c>
      <c r="C11" s="25" t="s">
        <v>29</v>
      </c>
      <c r="D11" s="74">
        <v>43.7</v>
      </c>
      <c r="E11" s="74">
        <v>43.8</v>
      </c>
      <c r="F11" s="74">
        <v>42.5</v>
      </c>
      <c r="G11" s="190">
        <v>-2.968</v>
      </c>
    </row>
    <row r="12" spans="2:7" ht="12" customHeight="1" x14ac:dyDescent="0.25">
      <c r="B12" s="17" t="s">
        <v>53</v>
      </c>
      <c r="C12" s="18" t="s">
        <v>29</v>
      </c>
      <c r="D12" s="74">
        <v>189.99199999999999</v>
      </c>
      <c r="E12" s="74">
        <v>191.065</v>
      </c>
      <c r="F12" s="74">
        <v>192.02</v>
      </c>
      <c r="G12" s="190">
        <v>0.5</v>
      </c>
    </row>
    <row r="13" spans="2:7" ht="12" customHeight="1" x14ac:dyDescent="0.25">
      <c r="B13" s="17" t="s">
        <v>54</v>
      </c>
      <c r="C13" s="18" t="s">
        <v>29</v>
      </c>
      <c r="D13" s="74">
        <v>68.665000000000006</v>
      </c>
      <c r="E13" s="74">
        <v>68.658000000000001</v>
      </c>
      <c r="F13" s="74">
        <v>72.397999999999996</v>
      </c>
      <c r="G13" s="190">
        <v>5.4470000000000001</v>
      </c>
    </row>
    <row r="14" spans="2:7" ht="12" customHeight="1" x14ac:dyDescent="0.25">
      <c r="B14" s="17" t="s">
        <v>34</v>
      </c>
      <c r="C14" s="25" t="s">
        <v>29</v>
      </c>
      <c r="D14" s="74">
        <v>100.931</v>
      </c>
      <c r="E14" s="74">
        <v>100.776</v>
      </c>
      <c r="F14" s="74">
        <v>99.233999999999995</v>
      </c>
      <c r="G14" s="203">
        <v>-1.53</v>
      </c>
    </row>
    <row r="15" spans="2:7" ht="12" customHeight="1" x14ac:dyDescent="0.25">
      <c r="B15" s="17" t="s">
        <v>35</v>
      </c>
      <c r="C15" s="25" t="s">
        <v>36</v>
      </c>
      <c r="D15" s="74">
        <v>53.124000000000002</v>
      </c>
      <c r="E15" s="74">
        <v>52.744999999999997</v>
      </c>
      <c r="F15" s="74">
        <v>51.679000000000002</v>
      </c>
      <c r="G15" s="190" t="s">
        <v>37</v>
      </c>
    </row>
    <row r="16" spans="2:7" ht="12" customHeight="1" x14ac:dyDescent="0.25">
      <c r="B16" s="17" t="s">
        <v>283</v>
      </c>
      <c r="C16" s="25" t="s">
        <v>57</v>
      </c>
      <c r="D16" s="204">
        <v>18.567</v>
      </c>
      <c r="E16" s="204">
        <v>14.8</v>
      </c>
      <c r="F16" s="204">
        <v>15.5</v>
      </c>
      <c r="G16" s="205">
        <v>4.7300000000000004</v>
      </c>
    </row>
    <row r="17" spans="2:7" ht="12" customHeight="1" x14ac:dyDescent="0.25">
      <c r="B17" s="27" t="s">
        <v>159</v>
      </c>
      <c r="C17" s="200" t="s">
        <v>110</v>
      </c>
      <c r="D17" s="200"/>
      <c r="E17" s="200"/>
      <c r="F17" s="200"/>
      <c r="G17" s="208"/>
    </row>
    <row r="18" spans="2:7" ht="12" customHeight="1" x14ac:dyDescent="0.25">
      <c r="B18" s="17" t="s">
        <v>285</v>
      </c>
      <c r="C18" s="25" t="s">
        <v>41</v>
      </c>
      <c r="D18" s="209">
        <v>323.56700000000001</v>
      </c>
      <c r="E18" s="209">
        <v>341.04500000000002</v>
      </c>
      <c r="F18" s="209">
        <v>340</v>
      </c>
      <c r="G18" s="210">
        <v>-0.30599999999999999</v>
      </c>
    </row>
    <row r="19" spans="2:7" ht="12" customHeight="1" x14ac:dyDescent="0.25">
      <c r="B19" s="17" t="s">
        <v>286</v>
      </c>
      <c r="C19" s="25" t="s">
        <v>43</v>
      </c>
      <c r="D19" s="209">
        <v>3865.6979999999999</v>
      </c>
      <c r="E19" s="209">
        <v>3903.3440000000001</v>
      </c>
      <c r="F19" s="209">
        <v>4198.7830000000004</v>
      </c>
      <c r="G19" s="210">
        <v>7.569</v>
      </c>
    </row>
    <row r="20" spans="2:7" ht="12" customHeight="1" x14ac:dyDescent="0.25">
      <c r="B20" s="211" t="s">
        <v>284</v>
      </c>
      <c r="C20" s="25" t="s">
        <v>81</v>
      </c>
      <c r="D20" s="209">
        <v>1969.114</v>
      </c>
      <c r="E20" s="209">
        <v>1428.903</v>
      </c>
      <c r="F20" s="209">
        <v>1555.271</v>
      </c>
      <c r="G20" s="210">
        <v>8.8439999999999994</v>
      </c>
    </row>
    <row r="21" spans="2:7" ht="12" customHeight="1" x14ac:dyDescent="0.25">
      <c r="B21" s="68" t="s">
        <v>54</v>
      </c>
      <c r="C21" s="9"/>
      <c r="D21" s="209"/>
      <c r="E21" s="209"/>
      <c r="F21" s="209"/>
      <c r="G21" s="210"/>
    </row>
    <row r="22" spans="2:7" ht="12" customHeight="1" x14ac:dyDescent="0.25">
      <c r="B22" s="206" t="s">
        <v>60</v>
      </c>
      <c r="C22" s="70" t="s">
        <v>43</v>
      </c>
      <c r="D22" s="209">
        <v>2660.1019999999999</v>
      </c>
      <c r="E22" s="209">
        <v>2810.462</v>
      </c>
      <c r="F22" s="209">
        <v>3107.0990000000002</v>
      </c>
      <c r="G22" s="210">
        <v>10.555</v>
      </c>
    </row>
    <row r="23" spans="2:7" ht="12" customHeight="1" x14ac:dyDescent="0.25">
      <c r="B23" s="73" t="s">
        <v>16</v>
      </c>
      <c r="C23" s="8" t="s">
        <v>17</v>
      </c>
      <c r="D23" s="209">
        <v>2049.6790000000001</v>
      </c>
      <c r="E23" s="209">
        <v>1720.1769999999999</v>
      </c>
      <c r="F23" s="209">
        <v>1863.037</v>
      </c>
      <c r="G23" s="210">
        <v>8.3049999999999997</v>
      </c>
    </row>
    <row r="24" spans="2:7" ht="12" customHeight="1" x14ac:dyDescent="0.25">
      <c r="B24" s="207" t="s">
        <v>176</v>
      </c>
      <c r="C24" s="212" t="s">
        <v>48</v>
      </c>
      <c r="D24" s="209">
        <v>68.450999999999993</v>
      </c>
      <c r="E24" s="209">
        <v>50.084000000000003</v>
      </c>
      <c r="F24" s="209">
        <v>51.841999999999999</v>
      </c>
      <c r="G24" s="210">
        <v>3.51</v>
      </c>
    </row>
    <row r="25" spans="2:7" ht="70.5" customHeight="1" x14ac:dyDescent="0.25">
      <c r="B25" s="268" t="s">
        <v>177</v>
      </c>
      <c r="C25" s="260"/>
      <c r="D25" s="260"/>
      <c r="E25" s="260"/>
      <c r="F25" s="260"/>
      <c r="G25" s="260"/>
    </row>
  </sheetData>
  <mergeCells count="2">
    <mergeCell ref="B7:G7"/>
    <mergeCell ref="B25:G25"/>
  </mergeCells>
  <conditionalFormatting sqref="D10:G15 D16:F16">
    <cfRule type="cellIs" dxfId="19" priority="3" stopIfTrue="1" operator="equal">
      <formula>0</formula>
    </cfRule>
    <cfRule type="cellIs" dxfId="18" priority="4" stopIfTrue="1" operator="lessThanOrEqual">
      <formula>-100</formula>
    </cfRule>
    <cfRule type="cellIs" dxfId="17" priority="5" stopIfTrue="1" operator="between">
      <formula>-99.999999999999</formula>
      <formula>99.999999999999</formula>
    </cfRule>
    <cfRule type="cellIs" dxfId="16" priority="6" stopIfTrue="1" operator="greaterThanOrEqual">
      <formula>100</formula>
    </cfRule>
  </conditionalFormatting>
  <conditionalFormatting sqref="D18:G24">
    <cfRule type="cellIs" dxfId="15" priority="7" operator="lessThan">
      <formula>99</formula>
    </cfRule>
    <cfRule type="cellIs" dxfId="14" priority="8" operator="greaterThanOrEqual">
      <formula>100</formula>
    </cfRule>
    <cfRule type="cellIs" dxfId="13" priority="9" stopIfTrue="1" operator="equal">
      <formula>0</formula>
    </cfRule>
    <cfRule type="cellIs" dxfId="12" priority="10" stopIfTrue="1" operator="lessThanOrEqual">
      <formula>-100</formula>
    </cfRule>
    <cfRule type="cellIs" dxfId="11" priority="11" stopIfTrue="1" operator="between">
      <formula>-99.999999999999</formula>
      <formula>99.999999999999</formula>
    </cfRule>
    <cfRule type="cellIs" dxfId="10" priority="12" stopIfTrue="1" operator="greaterThanOrEqual">
      <formula>100</formula>
    </cfRule>
  </conditionalFormatting>
  <conditionalFormatting sqref="E10:F10 D11:F16">
    <cfRule type="cellIs" dxfId="9" priority="1" operator="lessThanOrEqual">
      <formula>99</formula>
    </cfRule>
    <cfRule type="cellIs" dxfId="8" priority="2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B28C-1766-4AD8-82A7-DA6D71454975}">
  <sheetPr>
    <pageSetUpPr fitToPage="1"/>
  </sheetPr>
  <dimension ref="B6:G28"/>
  <sheetViews>
    <sheetView workbookViewId="0"/>
  </sheetViews>
  <sheetFormatPr defaultColWidth="9.140625" defaultRowHeight="15" x14ac:dyDescent="0.25"/>
  <cols>
    <col min="1" max="1" width="9.140625" style="10"/>
    <col min="2" max="2" width="23.28515625" style="10" customWidth="1"/>
    <col min="3" max="3" width="7.5703125" style="10" customWidth="1"/>
    <col min="4" max="6" width="9.5703125" style="10" customWidth="1"/>
    <col min="7" max="7" width="11" style="10" bestFit="1" customWidth="1"/>
    <col min="8" max="16384" width="9.140625" style="10"/>
  </cols>
  <sheetData>
    <row r="6" spans="2:7" ht="10.5" customHeight="1" x14ac:dyDescent="0.25">
      <c r="B6" s="9"/>
      <c r="C6" s="9"/>
      <c r="D6" s="9"/>
      <c r="E6" s="9"/>
      <c r="F6" s="9"/>
      <c r="G6" s="9"/>
    </row>
    <row r="7" spans="2:7" ht="24" customHeight="1" x14ac:dyDescent="0.25">
      <c r="B7" s="256" t="s">
        <v>178</v>
      </c>
      <c r="C7" s="256"/>
      <c r="D7" s="256"/>
      <c r="E7" s="256"/>
      <c r="F7" s="256"/>
      <c r="G7" s="256"/>
    </row>
    <row r="8" spans="2:7" ht="12.6" customHeight="1" x14ac:dyDescent="0.25">
      <c r="B8" s="51" t="s">
        <v>25</v>
      </c>
      <c r="C8" s="3" t="s">
        <v>2</v>
      </c>
      <c r="D8" s="3" t="s">
        <v>26</v>
      </c>
      <c r="E8" s="3" t="s">
        <v>4</v>
      </c>
      <c r="F8" s="3" t="s">
        <v>5</v>
      </c>
      <c r="G8" s="229" t="s">
        <v>6</v>
      </c>
    </row>
    <row r="9" spans="2:7" ht="12" customHeight="1" x14ac:dyDescent="0.25">
      <c r="B9" s="54" t="s">
        <v>27</v>
      </c>
      <c r="C9" s="213"/>
      <c r="D9" s="213"/>
      <c r="E9" s="213"/>
      <c r="F9" s="213"/>
      <c r="G9" s="213"/>
    </row>
    <row r="10" spans="2:7" ht="12" customHeight="1" x14ac:dyDescent="0.25">
      <c r="B10" s="214" t="s">
        <v>42</v>
      </c>
      <c r="C10" s="58" t="s">
        <v>29</v>
      </c>
      <c r="D10" s="215">
        <v>800.6</v>
      </c>
      <c r="E10" s="215">
        <v>844.2</v>
      </c>
      <c r="F10" s="215">
        <v>816.7</v>
      </c>
      <c r="G10" s="216">
        <v>-3.258</v>
      </c>
    </row>
    <row r="11" spans="2:7" ht="12" customHeight="1" x14ac:dyDescent="0.25">
      <c r="B11" s="217" t="s">
        <v>32</v>
      </c>
      <c r="C11" s="58" t="s">
        <v>29</v>
      </c>
      <c r="D11" s="215">
        <v>809.9</v>
      </c>
      <c r="E11" s="215">
        <v>822.8</v>
      </c>
      <c r="F11" s="215">
        <v>826.2</v>
      </c>
      <c r="G11" s="216">
        <v>0.41299999999999998</v>
      </c>
    </row>
    <row r="12" spans="2:7" ht="12" customHeight="1" x14ac:dyDescent="0.25">
      <c r="B12" s="57" t="s">
        <v>179</v>
      </c>
      <c r="C12" s="58" t="s">
        <v>29</v>
      </c>
      <c r="D12" s="215">
        <v>559</v>
      </c>
      <c r="E12" s="215">
        <v>566.70000000000005</v>
      </c>
      <c r="F12" s="215">
        <v>574.29999999999995</v>
      </c>
      <c r="G12" s="216">
        <v>1.341</v>
      </c>
    </row>
    <row r="13" spans="2:7" ht="12" customHeight="1" x14ac:dyDescent="0.25">
      <c r="B13" s="57" t="s">
        <v>180</v>
      </c>
      <c r="C13" s="58" t="s">
        <v>29</v>
      </c>
      <c r="D13" s="215">
        <v>151.5</v>
      </c>
      <c r="E13" s="215">
        <v>160.30000000000001</v>
      </c>
      <c r="F13" s="215">
        <v>157.30000000000001</v>
      </c>
      <c r="G13" s="216">
        <v>-1.871</v>
      </c>
    </row>
    <row r="14" spans="2:7" ht="12" customHeight="1" x14ac:dyDescent="0.25">
      <c r="B14" s="83" t="s">
        <v>34</v>
      </c>
      <c r="C14" s="5" t="s">
        <v>29</v>
      </c>
      <c r="D14" s="215">
        <v>265.68</v>
      </c>
      <c r="E14" s="215">
        <v>287.08</v>
      </c>
      <c r="F14" s="215">
        <v>277.58</v>
      </c>
      <c r="G14" s="218">
        <v>-3.3090000000000002</v>
      </c>
    </row>
    <row r="15" spans="2:7" ht="12" customHeight="1" x14ac:dyDescent="0.25">
      <c r="B15" s="42" t="s">
        <v>35</v>
      </c>
      <c r="C15" s="5" t="s">
        <v>36</v>
      </c>
      <c r="D15" s="215">
        <v>32.804000000000002</v>
      </c>
      <c r="E15" s="215">
        <v>34.890999999999998</v>
      </c>
      <c r="F15" s="219">
        <v>33.597000000000001</v>
      </c>
      <c r="G15" s="38" t="s">
        <v>37</v>
      </c>
    </row>
    <row r="16" spans="2:7" ht="12" customHeight="1" x14ac:dyDescent="0.25">
      <c r="B16" s="42" t="s">
        <v>33</v>
      </c>
      <c r="C16" s="58" t="s">
        <v>29</v>
      </c>
      <c r="D16" s="215">
        <v>197.13</v>
      </c>
      <c r="E16" s="215">
        <v>214.6</v>
      </c>
      <c r="F16" s="215">
        <v>202.6</v>
      </c>
      <c r="G16" s="220">
        <v>-5.5919999999999996</v>
      </c>
    </row>
    <row r="17" spans="2:7" ht="12" customHeight="1" x14ac:dyDescent="0.25">
      <c r="B17" s="83" t="s">
        <v>287</v>
      </c>
      <c r="C17" s="5" t="s">
        <v>38</v>
      </c>
      <c r="D17" s="215">
        <v>254.90299999999999</v>
      </c>
      <c r="E17" s="215">
        <v>256.13299999999998</v>
      </c>
      <c r="F17" s="215">
        <v>315</v>
      </c>
      <c r="G17" s="221">
        <v>22.983000000000001</v>
      </c>
    </row>
    <row r="18" spans="2:7" ht="12" customHeight="1" x14ac:dyDescent="0.25">
      <c r="B18" s="54" t="s">
        <v>181</v>
      </c>
      <c r="C18" s="213"/>
      <c r="D18" s="213"/>
      <c r="E18" s="213"/>
      <c r="F18" s="213"/>
      <c r="G18" s="213"/>
    </row>
    <row r="19" spans="2:7" ht="12" customHeight="1" x14ac:dyDescent="0.25">
      <c r="B19" s="222" t="s">
        <v>40</v>
      </c>
      <c r="C19" s="5" t="s">
        <v>58</v>
      </c>
      <c r="D19" s="215">
        <v>13060</v>
      </c>
      <c r="E19" s="215">
        <v>12412</v>
      </c>
      <c r="F19" s="215">
        <v>11051</v>
      </c>
      <c r="G19" s="216">
        <v>-10.965</v>
      </c>
    </row>
    <row r="20" spans="2:7" ht="12" customHeight="1" x14ac:dyDescent="0.25">
      <c r="B20" s="222" t="s">
        <v>42</v>
      </c>
      <c r="C20" s="5" t="s">
        <v>43</v>
      </c>
      <c r="D20" s="215">
        <v>34110</v>
      </c>
      <c r="E20" s="215">
        <v>35985</v>
      </c>
      <c r="F20" s="215">
        <v>29881</v>
      </c>
      <c r="G20" s="216">
        <v>-16.963000000000001</v>
      </c>
    </row>
    <row r="21" spans="2:7" ht="12" customHeight="1" x14ac:dyDescent="0.25">
      <c r="B21" s="222" t="s">
        <v>44</v>
      </c>
      <c r="C21" s="25" t="s">
        <v>17</v>
      </c>
      <c r="D21" s="215">
        <v>11400</v>
      </c>
      <c r="E21" s="215">
        <v>11515.2</v>
      </c>
      <c r="F21" s="223">
        <v>9944.3970000000008</v>
      </c>
      <c r="G21" s="216">
        <v>-13.641</v>
      </c>
    </row>
    <row r="22" spans="2:7" ht="12" customHeight="1" x14ac:dyDescent="0.25">
      <c r="B22" s="224" t="s">
        <v>182</v>
      </c>
      <c r="C22" s="5" t="s">
        <v>43</v>
      </c>
      <c r="D22" s="215">
        <v>9260.6</v>
      </c>
      <c r="E22" s="215">
        <v>10452.549999999999</v>
      </c>
      <c r="F22" s="215">
        <v>9710</v>
      </c>
      <c r="G22" s="216">
        <v>-7.1040000000000001</v>
      </c>
    </row>
    <row r="23" spans="2:7" ht="12" customHeight="1" x14ac:dyDescent="0.25">
      <c r="B23" s="225" t="s">
        <v>54</v>
      </c>
      <c r="C23" s="5"/>
      <c r="D23" s="215"/>
      <c r="E23" s="215"/>
      <c r="F23" s="215"/>
      <c r="G23" s="216"/>
    </row>
    <row r="24" spans="2:7" ht="12" customHeight="1" x14ac:dyDescent="0.25">
      <c r="B24" s="226" t="s">
        <v>60</v>
      </c>
      <c r="C24" s="5" t="s">
        <v>43</v>
      </c>
      <c r="D24" s="215">
        <v>23511.241000000002</v>
      </c>
      <c r="E24" s="215">
        <v>22500</v>
      </c>
      <c r="F24" s="215">
        <v>21000</v>
      </c>
      <c r="G24" s="216">
        <v>-6.6669999999999998</v>
      </c>
    </row>
    <row r="25" spans="2:7" ht="12" customHeight="1" x14ac:dyDescent="0.25">
      <c r="B25" s="226" t="s">
        <v>16</v>
      </c>
      <c r="C25" s="5" t="s">
        <v>17</v>
      </c>
      <c r="D25" s="215">
        <v>9501.3709999999992</v>
      </c>
      <c r="E25" s="215">
        <v>8662.5</v>
      </c>
      <c r="F25" s="215">
        <v>8505</v>
      </c>
      <c r="G25" s="216">
        <v>-1.8180000000000001</v>
      </c>
    </row>
    <row r="26" spans="2:7" ht="12" customHeight="1" x14ac:dyDescent="0.25">
      <c r="B26" s="68" t="s">
        <v>34</v>
      </c>
      <c r="C26" s="70" t="s">
        <v>43</v>
      </c>
      <c r="D26" s="215">
        <v>3002.2359999999999</v>
      </c>
      <c r="E26" s="215">
        <v>6067.7510000000002</v>
      </c>
      <c r="F26" s="215">
        <v>5268.2380000000003</v>
      </c>
      <c r="G26" s="216">
        <v>-13.176</v>
      </c>
    </row>
    <row r="27" spans="2:7" ht="12" customHeight="1" x14ac:dyDescent="0.25">
      <c r="B27" s="227" t="s">
        <v>288</v>
      </c>
      <c r="C27" s="228" t="s">
        <v>48</v>
      </c>
      <c r="D27" s="215">
        <v>399.84399999999999</v>
      </c>
      <c r="E27" s="215">
        <v>372.96600000000001</v>
      </c>
      <c r="F27" s="215">
        <v>395.45699999999999</v>
      </c>
      <c r="G27" s="216">
        <v>6.03</v>
      </c>
    </row>
    <row r="28" spans="2:7" ht="63.75" customHeight="1" x14ac:dyDescent="0.25">
      <c r="B28" s="259" t="s">
        <v>183</v>
      </c>
      <c r="C28" s="259"/>
      <c r="D28" s="259"/>
      <c r="E28" s="259"/>
      <c r="F28" s="259"/>
      <c r="G28" s="259"/>
    </row>
  </sheetData>
  <mergeCells count="2">
    <mergeCell ref="B7:G7"/>
    <mergeCell ref="B28:G28"/>
  </mergeCells>
  <conditionalFormatting sqref="B6:G7 B8:F8 B9:G28">
    <cfRule type="cellIs" dxfId="7" priority="1" stopIfTrue="1" operator="equal">
      <formula>0</formula>
    </cfRule>
    <cfRule type="cellIs" dxfId="6" priority="2" stopIfTrue="1" operator="lessThanOrEqual">
      <formula>-100</formula>
    </cfRule>
    <cfRule type="cellIs" dxfId="5" priority="3" stopIfTrue="1" operator="between">
      <formula>-99.999999999999</formula>
      <formula>99.999999999999</formula>
    </cfRule>
    <cfRule type="cellIs" dxfId="4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FC55-27C7-4573-B3FF-14CA49F53357}">
  <sheetPr>
    <pageSetUpPr fitToPage="1"/>
  </sheetPr>
  <dimension ref="B6:G31"/>
  <sheetViews>
    <sheetView workbookViewId="0"/>
  </sheetViews>
  <sheetFormatPr defaultColWidth="9.140625" defaultRowHeight="15" x14ac:dyDescent="0.25"/>
  <cols>
    <col min="1" max="1" width="9.140625" style="10"/>
    <col min="2" max="2" width="29.7109375" style="10" customWidth="1"/>
    <col min="3" max="3" width="9.140625" style="10"/>
    <col min="4" max="7" width="9.28515625" style="10" customWidth="1"/>
    <col min="8" max="16384" width="9.140625" style="10"/>
  </cols>
  <sheetData>
    <row r="6" spans="2:7" ht="12" customHeight="1" x14ac:dyDescent="0.25">
      <c r="B6" s="233"/>
      <c r="C6" s="233"/>
      <c r="D6" s="234"/>
      <c r="E6" s="234"/>
      <c r="F6" s="234"/>
      <c r="G6" s="234"/>
    </row>
    <row r="7" spans="2:7" ht="24" customHeight="1" x14ac:dyDescent="0.25">
      <c r="B7" s="181" t="s">
        <v>184</v>
      </c>
      <c r="C7" s="2"/>
      <c r="D7" s="2"/>
      <c r="E7" s="2"/>
      <c r="F7" s="2"/>
      <c r="G7" s="2"/>
    </row>
    <row r="8" spans="2:7" ht="12" customHeight="1" x14ac:dyDescent="0.25">
      <c r="B8" s="51" t="s">
        <v>1</v>
      </c>
      <c r="C8" s="3" t="s">
        <v>2</v>
      </c>
      <c r="D8" s="3" t="s">
        <v>26</v>
      </c>
      <c r="E8" s="3" t="s">
        <v>4</v>
      </c>
      <c r="F8" s="3" t="s">
        <v>5</v>
      </c>
      <c r="G8" s="52" t="s">
        <v>6</v>
      </c>
    </row>
    <row r="9" spans="2:7" ht="12" customHeight="1" x14ac:dyDescent="0.25">
      <c r="B9" s="53" t="s">
        <v>185</v>
      </c>
      <c r="C9" s="53"/>
      <c r="D9" s="53"/>
      <c r="E9" s="53"/>
      <c r="F9" s="53"/>
      <c r="G9" s="54"/>
    </row>
    <row r="10" spans="2:7" ht="12" customHeight="1" x14ac:dyDescent="0.25">
      <c r="B10" s="49" t="s">
        <v>186</v>
      </c>
      <c r="C10" s="25" t="s">
        <v>187</v>
      </c>
      <c r="D10" s="235">
        <v>144</v>
      </c>
      <c r="E10" s="235">
        <v>138</v>
      </c>
      <c r="F10" s="235">
        <v>133</v>
      </c>
      <c r="G10" s="236">
        <v>-3.6230000000000002</v>
      </c>
    </row>
    <row r="11" spans="2:7" ht="12" customHeight="1" x14ac:dyDescent="0.25">
      <c r="B11" s="237" t="s">
        <v>188</v>
      </c>
      <c r="C11" s="25" t="s">
        <v>43</v>
      </c>
      <c r="D11" s="235">
        <v>1565</v>
      </c>
      <c r="E11" s="235">
        <v>1265.671</v>
      </c>
      <c r="F11" s="235">
        <v>1200</v>
      </c>
      <c r="G11" s="236">
        <v>-5.1890000000000001</v>
      </c>
    </row>
    <row r="12" spans="2:7" ht="12" customHeight="1" x14ac:dyDescent="0.25">
      <c r="B12" s="91" t="s">
        <v>189</v>
      </c>
      <c r="C12" s="25" t="s">
        <v>43</v>
      </c>
      <c r="D12" s="235">
        <v>836</v>
      </c>
      <c r="E12" s="235">
        <v>596.226</v>
      </c>
      <c r="F12" s="235">
        <v>600</v>
      </c>
      <c r="G12" s="236">
        <v>0.63300000000000001</v>
      </c>
    </row>
    <row r="13" spans="2:7" ht="12" customHeight="1" x14ac:dyDescent="0.25">
      <c r="B13" s="91" t="s">
        <v>190</v>
      </c>
      <c r="C13" s="25" t="s">
        <v>43</v>
      </c>
      <c r="D13" s="235">
        <v>729</v>
      </c>
      <c r="E13" s="235">
        <v>669.44500000000005</v>
      </c>
      <c r="F13" s="235">
        <v>600</v>
      </c>
      <c r="G13" s="236">
        <v>-10.374000000000001</v>
      </c>
    </row>
    <row r="14" spans="2:7" ht="12" customHeight="1" x14ac:dyDescent="0.25">
      <c r="B14" s="17" t="s">
        <v>191</v>
      </c>
      <c r="C14" s="18" t="s">
        <v>192</v>
      </c>
      <c r="D14" s="235">
        <v>607.077</v>
      </c>
      <c r="E14" s="235">
        <v>579.09100000000001</v>
      </c>
      <c r="F14" s="235">
        <v>583.5</v>
      </c>
      <c r="G14" s="236">
        <v>0.76100000000000001</v>
      </c>
    </row>
    <row r="15" spans="2:7" ht="12" customHeight="1" x14ac:dyDescent="0.25">
      <c r="B15" s="91" t="s">
        <v>189</v>
      </c>
      <c r="C15" s="18" t="s">
        <v>192</v>
      </c>
      <c r="D15" s="235">
        <v>649</v>
      </c>
      <c r="E15" s="235">
        <v>678</v>
      </c>
      <c r="F15" s="235">
        <v>682</v>
      </c>
      <c r="G15" s="236">
        <v>0.59</v>
      </c>
    </row>
    <row r="16" spans="2:7" ht="12" customHeight="1" x14ac:dyDescent="0.25">
      <c r="B16" s="91" t="s">
        <v>190</v>
      </c>
      <c r="C16" s="25" t="s">
        <v>192</v>
      </c>
      <c r="D16" s="235">
        <v>559</v>
      </c>
      <c r="E16" s="235">
        <v>491</v>
      </c>
      <c r="F16" s="235">
        <v>485</v>
      </c>
      <c r="G16" s="236">
        <v>-1.222</v>
      </c>
    </row>
    <row r="17" spans="2:7" ht="12" customHeight="1" x14ac:dyDescent="0.25">
      <c r="B17" s="17" t="s">
        <v>193</v>
      </c>
      <c r="C17" s="25" t="s">
        <v>17</v>
      </c>
      <c r="D17" s="235">
        <v>950.07500000000005</v>
      </c>
      <c r="E17" s="235">
        <v>732.93899999999996</v>
      </c>
      <c r="F17" s="235">
        <v>700.2</v>
      </c>
      <c r="G17" s="236">
        <v>-4.4669999999999996</v>
      </c>
    </row>
    <row r="18" spans="2:7" ht="12" customHeight="1" x14ac:dyDescent="0.25">
      <c r="B18" s="170" t="s">
        <v>194</v>
      </c>
      <c r="C18" s="170"/>
      <c r="D18" s="170"/>
      <c r="E18" s="170"/>
      <c r="F18" s="170"/>
      <c r="G18" s="123"/>
    </row>
    <row r="19" spans="2:7" ht="12" customHeight="1" x14ac:dyDescent="0.25">
      <c r="B19" s="17" t="s">
        <v>195</v>
      </c>
      <c r="C19" s="25" t="s">
        <v>192</v>
      </c>
      <c r="D19" s="235">
        <v>264</v>
      </c>
      <c r="E19" s="235">
        <v>244</v>
      </c>
      <c r="F19" s="235">
        <v>240</v>
      </c>
      <c r="G19" s="236">
        <v>-1.639</v>
      </c>
    </row>
    <row r="20" spans="2:7" ht="12" customHeight="1" x14ac:dyDescent="0.25">
      <c r="B20" s="42" t="s">
        <v>196</v>
      </c>
      <c r="C20" s="5" t="s">
        <v>192</v>
      </c>
      <c r="D20" s="189">
        <v>257</v>
      </c>
      <c r="E20" s="189">
        <v>265</v>
      </c>
      <c r="F20" s="189">
        <v>260</v>
      </c>
      <c r="G20" s="230">
        <v>-1.887</v>
      </c>
    </row>
    <row r="21" spans="2:7" ht="12" customHeight="1" x14ac:dyDescent="0.25">
      <c r="B21" s="42" t="s">
        <v>197</v>
      </c>
      <c r="C21" s="5" t="s">
        <v>192</v>
      </c>
      <c r="D21" s="189">
        <v>286</v>
      </c>
      <c r="E21" s="189">
        <v>247</v>
      </c>
      <c r="F21" s="189">
        <v>242</v>
      </c>
      <c r="G21" s="230">
        <v>-2.024</v>
      </c>
    </row>
    <row r="22" spans="2:7" ht="12" customHeight="1" x14ac:dyDescent="0.25">
      <c r="B22" s="42" t="s">
        <v>198</v>
      </c>
      <c r="C22" s="5" t="s">
        <v>192</v>
      </c>
      <c r="D22" s="189">
        <v>394</v>
      </c>
      <c r="E22" s="189">
        <v>332</v>
      </c>
      <c r="F22" s="189">
        <v>325</v>
      </c>
      <c r="G22" s="230">
        <v>-2.1080000000000001</v>
      </c>
    </row>
    <row r="23" spans="2:7" ht="12" customHeight="1" x14ac:dyDescent="0.25">
      <c r="B23" s="42" t="s">
        <v>199</v>
      </c>
      <c r="C23" s="5" t="s">
        <v>192</v>
      </c>
      <c r="D23" s="189">
        <v>491</v>
      </c>
      <c r="E23" s="189">
        <v>433</v>
      </c>
      <c r="F23" s="189">
        <v>410</v>
      </c>
      <c r="G23" s="230">
        <v>-5.3120000000000003</v>
      </c>
    </row>
    <row r="24" spans="2:7" ht="12" customHeight="1" x14ac:dyDescent="0.25">
      <c r="B24" s="42" t="s">
        <v>200</v>
      </c>
      <c r="C24" s="5" t="s">
        <v>192</v>
      </c>
      <c r="D24" s="189">
        <v>492</v>
      </c>
      <c r="E24" s="189">
        <v>417</v>
      </c>
      <c r="F24" s="189">
        <v>390</v>
      </c>
      <c r="G24" s="230">
        <v>-6.4749999999999996</v>
      </c>
    </row>
    <row r="25" spans="2:7" ht="12" customHeight="1" x14ac:dyDescent="0.25">
      <c r="B25" s="53" t="s">
        <v>201</v>
      </c>
      <c r="C25" s="53"/>
      <c r="D25" s="53"/>
      <c r="E25" s="53"/>
      <c r="F25" s="53"/>
      <c r="G25" s="54"/>
    </row>
    <row r="26" spans="2:7" ht="12" customHeight="1" x14ac:dyDescent="0.25">
      <c r="B26" s="42" t="s">
        <v>52</v>
      </c>
      <c r="C26" s="5" t="s">
        <v>67</v>
      </c>
      <c r="D26" s="235">
        <v>1134.625</v>
      </c>
      <c r="E26" s="231">
        <v>987.22299999999996</v>
      </c>
      <c r="F26" s="231">
        <v>936</v>
      </c>
      <c r="G26" s="230">
        <v>-5.1890000000000001</v>
      </c>
    </row>
    <row r="27" spans="2:7" ht="12" customHeight="1" x14ac:dyDescent="0.25">
      <c r="B27" s="123" t="s">
        <v>54</v>
      </c>
      <c r="C27" s="5"/>
      <c r="D27" s="235"/>
      <c r="E27" s="231"/>
      <c r="F27" s="231"/>
      <c r="G27" s="230"/>
    </row>
    <row r="28" spans="2:7" ht="12" customHeight="1" x14ac:dyDescent="0.25">
      <c r="B28" s="42" t="s">
        <v>202</v>
      </c>
      <c r="C28" s="5" t="s">
        <v>67</v>
      </c>
      <c r="D28" s="238">
        <v>657.38199999999995</v>
      </c>
      <c r="E28" s="231">
        <v>610.64400000000001</v>
      </c>
      <c r="F28" s="231">
        <v>585.28800000000001</v>
      </c>
      <c r="G28" s="230">
        <v>-4.1520000000000001</v>
      </c>
    </row>
    <row r="29" spans="2:7" ht="12" customHeight="1" x14ac:dyDescent="0.25">
      <c r="B29" s="68" t="s">
        <v>203</v>
      </c>
      <c r="C29" s="70" t="s">
        <v>204</v>
      </c>
      <c r="D29" s="231">
        <v>3.968</v>
      </c>
      <c r="E29" s="231">
        <v>3.8769999999999998</v>
      </c>
      <c r="F29" s="231">
        <v>3.55</v>
      </c>
      <c r="G29" s="230">
        <v>-8.4339999999999993</v>
      </c>
    </row>
    <row r="30" spans="2:7" ht="12" customHeight="1" x14ac:dyDescent="0.25">
      <c r="B30" s="232" t="s">
        <v>205</v>
      </c>
      <c r="C30" s="8" t="s">
        <v>17</v>
      </c>
      <c r="D30" s="231">
        <v>2608.5120000000002</v>
      </c>
      <c r="E30" s="231">
        <v>2367.6770000000001</v>
      </c>
      <c r="F30" s="231">
        <v>2077.7719999999999</v>
      </c>
      <c r="G30" s="230">
        <v>-12.244</v>
      </c>
    </row>
    <row r="31" spans="2:7" ht="46.5" customHeight="1" x14ac:dyDescent="0.25">
      <c r="B31" s="258" t="s">
        <v>206</v>
      </c>
      <c r="C31" s="258"/>
      <c r="D31" s="258"/>
      <c r="E31" s="258"/>
      <c r="F31" s="258"/>
      <c r="G31" s="258"/>
    </row>
  </sheetData>
  <mergeCells count="1">
    <mergeCell ref="B31:G31"/>
  </mergeCells>
  <conditionalFormatting sqref="D10:G17 D19:G24 D26:G30">
    <cfRule type="cellIs" dxfId="3" priority="1" stopIfTrue="1" operator="equal">
      <formula>0</formula>
    </cfRule>
    <cfRule type="cellIs" dxfId="2" priority="2" stopIfTrue="1" operator="lessThanOrEqual">
      <formula>-100</formula>
    </cfRule>
    <cfRule type="cellIs" dxfId="1" priority="3" stopIfTrue="1" operator="between">
      <formula>-99.999999999999</formula>
      <formula>99.999999999999</formula>
    </cfRule>
    <cfRule type="cellIs" dxfId="0" priority="4" stopIfTrue="1" operator="greaterThanOrEqual">
      <formula>100</formula>
    </cfRule>
  </conditionalFormatting>
  <pageMargins left="0.7" right="0.7" top="0.75" bottom="0.75" header="0.3" footer="0.3"/>
  <pageSetup paperSize="9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437FB19C71744AACF3957E2D13177" ma:contentTypeVersion="27" ma:contentTypeDescription="Create a new document." ma:contentTypeScope="" ma:versionID="4668fe53c3e3c029b74b75a338f8df80">
  <xsd:schema xmlns:xsd="http://www.w3.org/2001/XMLSchema" xmlns:xs="http://www.w3.org/2001/XMLSchema" xmlns:p="http://schemas.microsoft.com/office/2006/metadata/properties" xmlns:ns2="abf44ee1-6942-42bb-9e03-dcc20019c9bf" xmlns:ns3="fd37dfdd-48a1-48f7-bca6-4f1c6545bb1e" xmlns:ns4="81c01dc6-2c49-4730-b140-874c95cac377" xmlns:ns5="http://schemas.microsoft.com/sharepoint/v4" targetNamespace="http://schemas.microsoft.com/office/2006/metadata/properties" ma:root="true" ma:fieldsID="9a795ae99287e8d6c21c91cc3c9e2063" ns2:_="" ns3:_="" ns4:_="" ns5:_="">
    <xsd:import namespace="abf44ee1-6942-42bb-9e03-dcc20019c9bf"/>
    <xsd:import namespace="fd37dfdd-48a1-48f7-bca6-4f1c6545bb1e"/>
    <xsd:import namespace="81c01dc6-2c49-4730-b140-874c95cac37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_Flow_SignoffStatus" minOccurs="0"/>
                <xsd:element ref="ns4:TaxCatchAll" minOccurs="0"/>
                <xsd:element ref="ns2:lcf76f155ced4ddcb4097134ff3c332f" minOccurs="0"/>
                <xsd:element ref="ns5:IconOverlay" minOccurs="0"/>
                <xsd:element ref="ns2:Responsible" minOccurs="0"/>
                <xsd:element ref="ns2:ChecksCompleted" minOccurs="0"/>
                <xsd:element ref="ns2:Notes" minOccurs="0"/>
                <xsd:element ref="ns2:Notes0" minOccurs="0"/>
                <xsd:element ref="ns2:MediaServiceObjectDetectorVersions" minOccurs="0"/>
                <xsd:element ref="ns2:TableNumbe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44ee1-6942-42bb-9e03-dcc20019c9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sponsible" ma:index="25" nillable="true" ma:displayName="Responsible" ma:format="Dropdown" ma:list="UserInfo" ma:SharePointGroup="0" ma:internalName="Responsib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hecksCompleted" ma:index="26" nillable="true" ma:displayName="Checks Completed" ma:default="Format Checked" ma:format="Dropdown" ma:internalName="ChecksCompleted">
      <xsd:simpleType>
        <xsd:restriction base="dms:Choice">
          <xsd:enumeration value="Format Checked"/>
          <xsd:enumeration value="Data Checked"/>
          <xsd:enumeration value="Final"/>
          <xsd:enumeration value="Draft"/>
          <xsd:enumeration value="Unchecked"/>
        </xsd:restriction>
      </xsd:simpleType>
    </xsd:element>
    <xsd:element name="Notes" ma:index="27" nillable="true" ma:displayName="(ACS) Footnotes" ma:description="Footnotes related to the table" ma:format="Hyperlink" ma:internalName="Not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otes0" ma:index="28" nillable="true" ma:displayName="Notes" ma:format="Dropdown" ma:internalName="Notes0">
      <xsd:simpleType>
        <xsd:restriction base="dms:Note">
          <xsd:maxLength value="255"/>
        </xsd:restriction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ableNumber" ma:index="30" nillable="true" ma:displayName="Table Number" ma:format="Dropdown" ma:internalName="TableNumber">
      <xsd:simpleType>
        <xsd:restriction base="dms:Text">
          <xsd:maxLength value="255"/>
        </xsd:restriction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37dfdd-48a1-48f7-bca6-4f1c6545bb1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d074d1-0762-40f9-8e28-90431167f9e6}" ma:internalName="TaxCatchAll" ma:showField="CatchAllData" ma:web="fd37dfdd-48a1-48f7-bca6-4f1c6545b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sCompleted xmlns="abf44ee1-6942-42bb-9e03-dcc20019c9bf">Format Checked</ChecksCompleted>
    <Responsible xmlns="abf44ee1-6942-42bb-9e03-dcc20019c9bf">
      <UserInfo>
        <DisplayName/>
        <AccountId xsi:nil="true"/>
        <AccountType/>
      </UserInfo>
    </Responsible>
    <Notes0 xmlns="abf44ee1-6942-42bb-9e03-dcc20019c9bf" xsi:nil="true"/>
    <IconOverlay xmlns="http://schemas.microsoft.com/sharepoint/v4" xsi:nil="true"/>
    <lcf76f155ced4ddcb4097134ff3c332f xmlns="abf44ee1-6942-42bb-9e03-dcc20019c9bf">
      <Terms xmlns="http://schemas.microsoft.com/office/infopath/2007/PartnerControls"/>
    </lcf76f155ced4ddcb4097134ff3c332f>
    <TaxCatchAll xmlns="81c01dc6-2c49-4730-b140-874c95cac377" xsi:nil="true"/>
    <_Flow_SignoffStatus xmlns="abf44ee1-6942-42bb-9e03-dcc20019c9bf" xsi:nil="true"/>
    <TableNumber xmlns="abf44ee1-6942-42bb-9e03-dcc20019c9bf" xsi:nil="true"/>
    <Notes xmlns="abf44ee1-6942-42bb-9e03-dcc20019c9bf">
      <Url xsi:nil="true"/>
      <Description xsi:nil="true"/>
    </Note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002AE-7B68-4E40-83D8-906BE864D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44ee1-6942-42bb-9e03-dcc20019c9bf"/>
    <ds:schemaRef ds:uri="fd37dfdd-48a1-48f7-bca6-4f1c6545bb1e"/>
    <ds:schemaRef ds:uri="81c01dc6-2c49-4730-b140-874c95cac37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DD6E92-6A8C-4C0E-9220-25CAFDFAD041}">
  <ds:schemaRefs>
    <ds:schemaRef ds:uri="http://schemas.microsoft.com/office/2006/metadata/properties"/>
    <ds:schemaRef ds:uri="http://schemas.microsoft.com/office/infopath/2007/PartnerControls"/>
    <ds:schemaRef ds:uri="abf44ee1-6942-42bb-9e03-dcc20019c9bf"/>
    <ds:schemaRef ds:uri="http://schemas.microsoft.com/sharepoint/v4"/>
    <ds:schemaRef ds:uri="81c01dc6-2c49-4730-b140-874c95cac377"/>
  </ds:schemaRefs>
</ds:datastoreItem>
</file>

<file path=customXml/itemProps3.xml><?xml version="1.0" encoding="utf-8"?>
<ds:datastoreItem xmlns:ds="http://schemas.openxmlformats.org/officeDocument/2006/customXml" ds:itemID="{67EE3C6B-E516-4DEC-80AB-2C92E1451D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3d8be6-3c40-4052-87a2-9c2adcba8759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Index</vt:lpstr>
      <vt:lpstr>Key Macro</vt:lpstr>
      <vt:lpstr>Major indicators</vt:lpstr>
      <vt:lpstr>Beef &amp; Cattle</vt:lpstr>
      <vt:lpstr>Coarse Grains</vt:lpstr>
      <vt:lpstr>Cotton</vt:lpstr>
      <vt:lpstr>Dairy</vt:lpstr>
      <vt:lpstr>Fisheries</vt:lpstr>
      <vt:lpstr>Lamb, sheep and wool</vt:lpstr>
      <vt:lpstr>Oilseeds</vt:lpstr>
      <vt:lpstr>Pigs, poultry and eggs</vt:lpstr>
      <vt:lpstr>Sugar</vt:lpstr>
      <vt:lpstr>Wheat</vt:lpstr>
      <vt:lpstr>Wine</vt:lpstr>
      <vt:lpstr>'Beef &amp; Cattle'!Print_Area</vt:lpstr>
      <vt:lpstr>'Coarse Grains'!Print_Area</vt:lpstr>
      <vt:lpstr>Cotton!Print_Area</vt:lpstr>
      <vt:lpstr>Dairy!Print_Area</vt:lpstr>
      <vt:lpstr>Fisheries!Print_Area</vt:lpstr>
      <vt:lpstr>Index!Print_Area</vt:lpstr>
      <vt:lpstr>'Key Macro'!Print_Area</vt:lpstr>
      <vt:lpstr>'Lamb, sheep and wool'!Print_Area</vt:lpstr>
      <vt:lpstr>'Major indicators'!Print_Area</vt:lpstr>
      <vt:lpstr>Oilseeds!Print_Area</vt:lpstr>
      <vt:lpstr>'Pigs, poultry and eggs'!Print_Area</vt:lpstr>
      <vt:lpstr>Sugar!Print_Area</vt:lpstr>
      <vt:lpstr>Wheat!Print_Area</vt:lpstr>
      <vt:lpstr>Wine!Print_Area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Waterhouse, Sian</dc:creator>
  <cp:lastModifiedBy>Ma, Yilei</cp:lastModifiedBy>
  <dcterms:created xsi:type="dcterms:W3CDTF">2026-08-24T01:05:27Z</dcterms:created>
  <dcterms:modified xsi:type="dcterms:W3CDTF">2026-08-28T00:38:08Z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0x010100B01437FB19C71744AACF3957E2D13177</vt:lpwstr>
  </property>
  <property fmtid="{D5CDD505-2E9C-101B-9397-08002B2CF9AE}" pid="3" name="MediaServiceImageTags">
    <vt:lpwstr/>
  </property>
</Properties>
</file>